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rkella\Desktop\Модель нанотрубок\Финальные важные файлы!\"/>
    </mc:Choice>
  </mc:AlternateContent>
  <xr:revisionPtr revIDLastSave="0" documentId="13_ncr:1_{4716C6CD-2628-48FE-9EB3-916C9B43C54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Параметры модели" sheetId="1" r:id="rId1"/>
    <sheet name="Физические константы" sheetId="2" r:id="rId2"/>
    <sheet name="Формулы модели" sheetId="3" r:id="rId3"/>
    <sheet name="План исследования" sheetId="4" state="hidden" r:id="rId4"/>
    <sheet name="Результаты симуляций" sheetId="5" state="hidden" r:id="rId5"/>
    <sheet name="Концентрационные результаты" sheetId="6" r:id="rId6"/>
    <sheet name="Геометрические результаты" sheetId="7" r:id="rId7"/>
    <sheet name="results_20251126_013134" sheetId="8" state="hidden" r:id="rId8"/>
  </sheets>
  <definedNames>
    <definedName name="ExternalData_1" localSheetId="7" hidden="1">results_20251126_013134!$A$1:$V$9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9" i="7" l="1"/>
  <c r="J120" i="7"/>
  <c r="J121" i="7"/>
  <c r="J118" i="7"/>
  <c r="J130" i="7"/>
  <c r="J131" i="7"/>
  <c r="M131" i="7" s="1"/>
  <c r="J132" i="7"/>
  <c r="M132" i="7" s="1"/>
  <c r="J133" i="7"/>
  <c r="M133" i="7" s="1"/>
  <c r="J129" i="7"/>
  <c r="L131" i="7"/>
  <c r="L132" i="7"/>
  <c r="L133" i="7"/>
  <c r="I118" i="7"/>
  <c r="K118" i="7"/>
  <c r="I119" i="7"/>
  <c r="K119" i="7"/>
  <c r="I120" i="7"/>
  <c r="K120" i="7"/>
  <c r="I121" i="7"/>
  <c r="K121" i="7"/>
  <c r="K117" i="7"/>
  <c r="I117" i="7"/>
  <c r="J117" i="7"/>
  <c r="K128" i="7"/>
  <c r="K129" i="7"/>
  <c r="K130" i="7"/>
  <c r="K131" i="7"/>
  <c r="K132" i="7"/>
  <c r="K133" i="7"/>
  <c r="I129" i="7"/>
  <c r="I130" i="7"/>
  <c r="I131" i="7"/>
  <c r="I132" i="7"/>
  <c r="I133" i="7"/>
  <c r="J128" i="7"/>
  <c r="I128" i="7"/>
  <c r="F129" i="7"/>
  <c r="F130" i="7"/>
  <c r="F131" i="7"/>
  <c r="F132" i="7"/>
  <c r="F133" i="7"/>
  <c r="E129" i="7"/>
  <c r="E130" i="7"/>
  <c r="E131" i="7"/>
  <c r="E132" i="7"/>
  <c r="E133" i="7"/>
  <c r="F128" i="7"/>
  <c r="E128" i="7"/>
  <c r="F118" i="7"/>
  <c r="F119" i="7"/>
  <c r="F120" i="7"/>
  <c r="F121" i="7"/>
  <c r="F117" i="7"/>
  <c r="E117" i="7"/>
  <c r="E118" i="7"/>
  <c r="E119" i="7"/>
  <c r="E120" i="7"/>
  <c r="E121" i="7"/>
  <c r="Q157" i="6"/>
  <c r="Q158" i="6"/>
  <c r="Q159" i="6"/>
  <c r="Q160" i="6"/>
  <c r="P158" i="6"/>
  <c r="P159" i="6"/>
  <c r="P160" i="6"/>
  <c r="P15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47" i="6"/>
  <c r="N158" i="6"/>
  <c r="N159" i="6"/>
  <c r="N160" i="6"/>
  <c r="N157" i="6"/>
  <c r="F160" i="6"/>
  <c r="F149" i="6"/>
  <c r="F150" i="6"/>
  <c r="F151" i="6"/>
  <c r="F152" i="6"/>
  <c r="F153" i="6"/>
  <c r="F154" i="6"/>
  <c r="F155" i="6"/>
  <c r="F156" i="6"/>
  <c r="F157" i="6"/>
  <c r="F158" i="6"/>
  <c r="F159" i="6"/>
  <c r="F148" i="6"/>
  <c r="F147" i="6"/>
  <c r="B128" i="7"/>
  <c r="D128" i="7" s="1"/>
  <c r="B129" i="7"/>
  <c r="C129" i="7"/>
  <c r="D129" i="7"/>
  <c r="G129" i="7"/>
  <c r="B130" i="7"/>
  <c r="D130" i="7" s="1"/>
  <c r="C130" i="7"/>
  <c r="G130" i="7"/>
  <c r="B131" i="7"/>
  <c r="C131" i="7"/>
  <c r="D131" i="7"/>
  <c r="G131" i="7"/>
  <c r="B132" i="7"/>
  <c r="C132" i="7"/>
  <c r="D132" i="7"/>
  <c r="G132" i="7"/>
  <c r="B133" i="7"/>
  <c r="D133" i="7" s="1"/>
  <c r="C133" i="7"/>
  <c r="G133" i="7"/>
  <c r="G128" i="7"/>
  <c r="C128" i="7"/>
  <c r="G117" i="7"/>
  <c r="G118" i="7"/>
  <c r="G119" i="7"/>
  <c r="G120" i="7"/>
  <c r="G121" i="7"/>
  <c r="D121" i="7"/>
  <c r="C121" i="7"/>
  <c r="C120" i="7"/>
  <c r="C119" i="7"/>
  <c r="C118" i="7"/>
  <c r="C117" i="7"/>
  <c r="B121" i="7"/>
  <c r="B120" i="7"/>
  <c r="D120" i="7" s="1"/>
  <c r="B119" i="7"/>
  <c r="D119" i="7" s="1"/>
  <c r="B118" i="7"/>
  <c r="D118" i="7" s="1"/>
  <c r="B117" i="7"/>
  <c r="D117" i="7" s="1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47" i="6"/>
  <c r="E147" i="6"/>
  <c r="I147" i="6" s="1"/>
  <c r="E160" i="6"/>
  <c r="I160" i="6" s="1"/>
  <c r="M160" i="6" s="1"/>
  <c r="E159" i="6"/>
  <c r="I159" i="6" s="1"/>
  <c r="M159" i="6" s="1"/>
  <c r="E158" i="6"/>
  <c r="I158" i="6" s="1"/>
  <c r="M158" i="6" s="1"/>
  <c r="E157" i="6"/>
  <c r="I157" i="6" s="1"/>
  <c r="M157" i="6" s="1"/>
  <c r="E156" i="6"/>
  <c r="I156" i="6" s="1"/>
  <c r="E155" i="6"/>
  <c r="I155" i="6" s="1"/>
  <c r="E154" i="6"/>
  <c r="I154" i="6" s="1"/>
  <c r="E153" i="6"/>
  <c r="I153" i="6" s="1"/>
  <c r="E152" i="6"/>
  <c r="I152" i="6" s="1"/>
  <c r="E151" i="6"/>
  <c r="I151" i="6" s="1"/>
  <c r="E150" i="6"/>
  <c r="I150" i="6" s="1"/>
  <c r="E149" i="6"/>
  <c r="I149" i="6" s="1"/>
  <c r="E148" i="6"/>
  <c r="I148" i="6" s="1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B149" i="6"/>
  <c r="B150" i="6"/>
  <c r="B151" i="6"/>
  <c r="D151" i="6" s="1"/>
  <c r="B152" i="6"/>
  <c r="B153" i="6"/>
  <c r="K153" i="6" s="1"/>
  <c r="B154" i="6"/>
  <c r="B155" i="6"/>
  <c r="D155" i="6" s="1"/>
  <c r="B156" i="6"/>
  <c r="D156" i="6" s="1"/>
  <c r="B157" i="6"/>
  <c r="B158" i="6"/>
  <c r="D158" i="6" s="1"/>
  <c r="B159" i="6"/>
  <c r="B160" i="6"/>
  <c r="D160" i="6" s="1"/>
  <c r="B148" i="6"/>
  <c r="B147" i="6"/>
  <c r="B101" i="7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90" i="7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79" i="7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68" i="7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57" i="7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46" i="7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35" i="7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24" i="7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28" i="6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15" i="6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14" i="6"/>
  <c r="B100" i="6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86" i="6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72" i="6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58" i="6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44" i="6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30" i="6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16" i="6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K148" i="6" l="1"/>
  <c r="D148" i="6"/>
  <c r="D159" i="6"/>
  <c r="K152" i="6"/>
  <c r="K147" i="6"/>
  <c r="D153" i="6"/>
  <c r="D154" i="6"/>
  <c r="K151" i="6"/>
  <c r="K150" i="6"/>
  <c r="D149" i="6"/>
  <c r="D152" i="6"/>
  <c r="D150" i="6"/>
  <c r="J147" i="6" a="1"/>
  <c r="J147" i="6" s="1"/>
  <c r="K149" i="6"/>
  <c r="D147" i="6"/>
  <c r="K160" i="6"/>
  <c r="K159" i="6"/>
  <c r="K158" i="6"/>
  <c r="K157" i="6"/>
  <c r="D157" i="6"/>
  <c r="K156" i="6"/>
  <c r="K155" i="6"/>
  <c r="K15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<sst xmlns="http://schemas.openxmlformats.org/spreadsheetml/2006/main" count="919" uniqueCount="437">
  <si>
    <t>Категория</t>
  </si>
  <si>
    <t>Параметр</t>
  </si>
  <si>
    <t>Обозначение</t>
  </si>
  <si>
    <t>Текущее значение</t>
  </si>
  <si>
    <t>Единицы</t>
  </si>
  <si>
    <t>Диапазон варьирования</t>
  </si>
  <si>
    <t>Шаг изменения</t>
  </si>
  <si>
    <t>Физический смысл</t>
  </si>
  <si>
    <t>Влияние на проводимость</t>
  </si>
  <si>
    <t>ГЕОМЕТРИЯ ОУНТ</t>
  </si>
  <si>
    <t>Количество трубок</t>
  </si>
  <si>
    <t>num_tubes</t>
  </si>
  <si>
    <t>шт</t>
  </si>
  <si>
    <t>400-2000</t>
  </si>
  <si>
    <t>400, 600, 800, 1000, 1200, 1500, 1800, 2000</t>
  </si>
  <si>
    <t>Количество углеродных нанотрубок в композите</t>
  </si>
  <si>
    <t>↑ num_tubes → ↑ φ → ↑ σ (до насыщения)</t>
  </si>
  <si>
    <t>Длина трубки</t>
  </si>
  <si>
    <t>tube_length</t>
  </si>
  <si>
    <t>нм</t>
  </si>
  <si>
    <t>100-500</t>
  </si>
  <si>
    <t>Длина одной нанотрубки (аспектное отношение L/D)</t>
  </si>
  <si>
    <t>↑ length → ↑ вероятность перколяции → ↑ σ</t>
  </si>
  <si>
    <t>Внешний радиус</t>
  </si>
  <si>
    <t>outer_radius</t>
  </si>
  <si>
    <t>0.5-3.0</t>
  </si>
  <si>
    <t>Внешний радиус нанотрубки</t>
  </si>
  <si>
    <t>↑ radius → ↑ φ, ↑ туннельный зазор → неоднозначно</t>
  </si>
  <si>
    <t>Внутренний радиус</t>
  </si>
  <si>
    <t>inner_radius</t>
  </si>
  <si>
    <t>0.3-2.0</t>
  </si>
  <si>
    <t>Внутренний радиус (полая трубка)</t>
  </si>
  <si>
    <t>↑ inner_radius → ↓ объём материала → ↓ σ</t>
  </si>
  <si>
    <t>ГЕОМЕТРИЯ ПОЛЯ</t>
  </si>
  <si>
    <t>Размер поля</t>
  </si>
  <si>
    <t>field_size</t>
  </si>
  <si>
    <t>200-800</t>
  </si>
  <si>
    <t>Размер кубической области моделирования</t>
  </si>
  <si>
    <t>Масштабный эффект, влияет на φ</t>
  </si>
  <si>
    <t>Размер воксела</t>
  </si>
  <si>
    <t>voxel_size</t>
  </si>
  <si>
    <t>2.0-8.0</t>
  </si>
  <si>
    <t>Размер элементарной ячейки дискретизации</t>
  </si>
  <si>
    <t>↓ voxel_size → ↑ точность, но ↑ время расчёта</t>
  </si>
  <si>
    <t>ОРИЕНТАЦИЯ</t>
  </si>
  <si>
    <t>Джиттер выравнивания</t>
  </si>
  <si>
    <t>aligned_jitter_deg</t>
  </si>
  <si>
    <t>град</t>
  </si>
  <si>
    <t>0-30</t>
  </si>
  <si>
    <t>Стандартное отклонение углов от главного направления</t>
  </si>
  <si>
    <t>↑ jitter → ↓ степень выравнивания → ↓ σ</t>
  </si>
  <si>
    <t>Режим ориентации</t>
  </si>
  <si>
    <t>orientation_mode</t>
  </si>
  <si>
    <t>aligned</t>
  </si>
  <si>
    <t>-</t>
  </si>
  <si>
    <t>aligned / random</t>
  </si>
  <si>
    <t>Режим задания ориентации трубок</t>
  </si>
  <si>
    <t>aligned → ↑ σ, random → ↓ σ</t>
  </si>
  <si>
    <t>АЭРОГЕЛЬ</t>
  </si>
  <si>
    <t>Включить аэрогель</t>
  </si>
  <si>
    <t>enable_particles</t>
  </si>
  <si>
    <t>True / False</t>
  </si>
  <si>
    <t>Включение частиц аэрогеля в композит</t>
  </si>
  <si>
    <t>particles → ↓ σ (матрица-изолятор)</t>
  </si>
  <si>
    <t>Доля частиц</t>
  </si>
  <si>
    <t>particle_to_total_ratio</t>
  </si>
  <si>
    <t>0.0-0.9</t>
  </si>
  <si>
    <t>Объёмная доля частиц аэрогеля</t>
  </si>
  <si>
    <t>↑ ratio → ↓ доля ОУНТ → ↓ σ</t>
  </si>
  <si>
    <t>Радиус частиц (тип 1)</t>
  </si>
  <si>
    <t>p1_radius</t>
  </si>
  <si>
    <t>5-30</t>
  </si>
  <si>
    <t>Радиус частиц аэрогеля первого типа</t>
  </si>
  <si>
    <t>↑ radius → ↑ препятствие для контактов → ↓ σ</t>
  </si>
  <si>
    <t>Длина частиц (тип 1)</t>
  </si>
  <si>
    <t>p1_length</t>
  </si>
  <si>
    <t>20-80</t>
  </si>
  <si>
    <t>Длина цилиндрической части частицы</t>
  </si>
  <si>
    <t>↑ length → ↑ препятствие → ↓ σ</t>
  </si>
  <si>
    <t>КОЛЛИЗИИ</t>
  </si>
  <si>
    <t>Мин. зазор ОУНТ-ОУНТ</t>
  </si>
  <si>
    <t>min_gap</t>
  </si>
  <si>
    <t>0.1-2.0</t>
  </si>
  <si>
    <t>Минимальный зазор между нанотрубками</t>
  </si>
  <si>
    <t>↑ min_gap → ↓ плотность упаковки → ↓ σ</t>
  </si>
  <si>
    <t>Мин. зазор с частицами</t>
  </si>
  <si>
    <t>min_gap_particles</t>
  </si>
  <si>
    <t>Минимальный зазор между частицами и трубками</t>
  </si>
  <si>
    <t>Константа</t>
  </si>
  <si>
    <t>Обозначение в коде</t>
  </si>
  <si>
    <t>Значение</t>
  </si>
  <si>
    <t>Диапазон для калибровки</t>
  </si>
  <si>
    <t>Источник/Обоснование</t>
  </si>
  <si>
    <t>ПРОВОДИМОСТЬ ОУНТ</t>
  </si>
  <si>
    <t>Проводимость вдоль оси</t>
  </si>
  <si>
    <t>SIGMA_CNT_PARALLEL</t>
  </si>
  <si>
    <t>См/м</t>
  </si>
  <si>
    <t>1e5 - 1e7</t>
  </si>
  <si>
    <t>Электрическая проводимость по длине нанотрубки</t>
  </si>
  <si>
    <t>Литература: ~5*10^6 См/м для идеальных ОУНТ</t>
  </si>
  <si>
    <t>Проводимость поперёк оси</t>
  </si>
  <si>
    <t>SIGMA_CNT_PERPENDICULAR</t>
  </si>
  <si>
    <t>1e2 - 1e4</t>
  </si>
  <si>
    <t>Электрическая проводимость поперёк трубки</t>
  </si>
  <si>
    <t>Анизотропия ~0.001x, типично для ОУНТ</t>
  </si>
  <si>
    <t>ПРОВОДИМОСТЬ АЭРОГЕЛЯ</t>
  </si>
  <si>
    <t>Проводимость матрицы</t>
  </si>
  <si>
    <t>SIGMA_AEROGEL</t>
  </si>
  <si>
    <t>1e-8 - 1e-4</t>
  </si>
  <si>
    <t>Электрическая проводимость аэрогеля</t>
  </si>
  <si>
    <t>Аэрогель - диэлектрик/изолятор. В програме несильно влияет на результат</t>
  </si>
  <si>
    <t>ТУННЕЛИРОВАНИЕ</t>
  </si>
  <si>
    <t>Параметр затухания</t>
  </si>
  <si>
    <t>TUNNELING_BETA</t>
  </si>
  <si>
    <t>нм^-1</t>
  </si>
  <si>
    <t>Коэффициент затухания волновой функции</t>
  </si>
  <si>
    <t>Квантовое туннелирование, β ~ 2-3 нм^-1 типично</t>
  </si>
  <si>
    <t>Базовая проводимость</t>
  </si>
  <si>
    <t>TUNNELING_G0</t>
  </si>
  <si>
    <t>См</t>
  </si>
  <si>
    <t>1e-6 - 1e-3</t>
  </si>
  <si>
    <t>Проводимость контакта при нулевом зазоре</t>
  </si>
  <si>
    <t>Эмпирический параметр, калибруется</t>
  </si>
  <si>
    <t>Макс. расстояние</t>
  </si>
  <si>
    <t>MAX_TUNNEL_DISTANCE</t>
  </si>
  <si>
    <t>1.0 - 2.0</t>
  </si>
  <si>
    <t>Максимальное расстояние туннелирования</t>
  </si>
  <si>
    <t xml:space="preserve">Физический предел ~1-2 нм для электронов. </t>
  </si>
  <si>
    <t>ПЕРКОЛЯЦИЯ</t>
  </si>
  <si>
    <t>Порог перколяции</t>
  </si>
  <si>
    <t>PERCOLATION_THRESHOLD</t>
  </si>
  <si>
    <t>0.10 - 0.25</t>
  </si>
  <si>
    <t>Критическая объёмная доля для перколяции</t>
  </si>
  <si>
    <t>Эмпирика: φ_c ~ 0.15 для стержней в 3D. Требует калибровки и экспериментов</t>
  </si>
  <si>
    <t>Критический показатель</t>
  </si>
  <si>
    <t>PERCOLATION_EXPONENT</t>
  </si>
  <si>
    <t>1.5 - 2.5</t>
  </si>
  <si>
    <t>Показатель степени в законе перколяции</t>
  </si>
  <si>
    <t>Теория перколяции: t ~ 1.9-2.0 в 3D</t>
  </si>
  <si>
    <t>КОНТАКТЫ</t>
  </si>
  <si>
    <t>Чистые ОУНТ</t>
  </si>
  <si>
    <t>CONTACT_FACTOR_PURE_CNT</t>
  </si>
  <si>
    <t>0.01 - 1.0</t>
  </si>
  <si>
    <t>Контактное сопротивление без матрицы</t>
  </si>
  <si>
    <t>Эмпирика: снижение на порядок</t>
  </si>
  <si>
    <t>Низкое содержание аэрогеля</t>
  </si>
  <si>
    <t>CONTACT_FACTOR_LOW_AEROGEL</t>
  </si>
  <si>
    <t>0.001 - 0.1</t>
  </si>
  <si>
    <t>Фактор при &lt; 50% аэрогеля</t>
  </si>
  <si>
    <t>Матрица ухудшает контакты</t>
  </si>
  <si>
    <t>Высокое содержание аэрогеля</t>
  </si>
  <si>
    <t>CONTACT_FACTOR_HIGH_AEROGEL</t>
  </si>
  <si>
    <t>0.0001 - 0.01</t>
  </si>
  <si>
    <t>Фактор при &gt; 50% аэрогеля</t>
  </si>
  <si>
    <t>Сильная изоляция контактов</t>
  </si>
  <si>
    <t>ИЗВИЛИСТОСТЬ</t>
  </si>
  <si>
    <t>Хорошее выравнивание</t>
  </si>
  <si>
    <t>TORTUOSITY_ALIGNED_LOW</t>
  </si>
  <si>
    <t>1.05 - 1.2</t>
  </si>
  <si>
    <t>Джиттер &lt; 5°</t>
  </si>
  <si>
    <t>Почти прямые пути тока</t>
  </si>
  <si>
    <t>Среднее выравнивание</t>
  </si>
  <si>
    <t>TORTUOSITY_ALIGNED_MED</t>
  </si>
  <si>
    <t>1.2 - 1.5</t>
  </si>
  <si>
    <t>Джиттер 5-15°</t>
  </si>
  <si>
    <t>Умеренная извилистость</t>
  </si>
  <si>
    <t>Слабое выравнивание</t>
  </si>
  <si>
    <t>TORTUOSITY_ALIGNED_HIGH</t>
  </si>
  <si>
    <t>1.5 - 2.0</t>
  </si>
  <si>
    <t>Джиттер &gt; 15°</t>
  </si>
  <si>
    <t>Значительная извилистость</t>
  </si>
  <si>
    <t>Случайная ориентация</t>
  </si>
  <si>
    <t>TORTUOSITY_RANDOM</t>
  </si>
  <si>
    <t>2.0 - 3.0</t>
  </si>
  <si>
    <t>Хаотичная сеть</t>
  </si>
  <si>
    <t>Максимальная извилистость пути</t>
  </si>
  <si>
    <t xml:space="preserve">Этот раздел нуждается в экспериментальных данных для более точной калибровки </t>
  </si>
  <si>
    <t>БЛОК</t>
  </si>
  <si>
    <t>ФОРМУЛА</t>
  </si>
  <si>
    <t>ОПИСАНИЕ</t>
  </si>
  <si>
    <t>ОБЪЁМНАЯ ДОЛЯ</t>
  </si>
  <si>
    <t>φ = V_tubes / V_field</t>
  </si>
  <si>
    <t>Объёмная доля ОУНТ</t>
  </si>
  <si>
    <t>V_tube = π(R_out² - R_in²) × L</t>
  </si>
  <si>
    <t>Объём одной трубки</t>
  </si>
  <si>
    <t>V_field = field_size³</t>
  </si>
  <si>
    <t>Объём области моделирования</t>
  </si>
  <si>
    <t>ЛОКАЛЬНАЯ ПРОВОДИМОСТЬ</t>
  </si>
  <si>
    <t>σ_voxel = (α·σ_∥ + (1-α)·σ_⊥) × fill</t>
  </si>
  <si>
    <t>С учётом анизотропии</t>
  </si>
  <si>
    <t>α = |orientation · link_direction|</t>
  </si>
  <si>
    <t>Проекция на направление связи</t>
  </si>
  <si>
    <t>fill = доля заполнения воксела</t>
  </si>
  <si>
    <t>0 &lt; fill ≤ 1</t>
  </si>
  <si>
    <t>ПРОВОДИМОСТЬ КОНТАКТА (одна трубка)</t>
  </si>
  <si>
    <t>G = σ_avg × A / L</t>
  </si>
  <si>
    <t>Закон Ома для резистора</t>
  </si>
  <si>
    <t>A = voxel_size²</t>
  </si>
  <si>
    <t>Площадь сечения воксела (нм² → м²)</t>
  </si>
  <si>
    <t>L = voxel_size</t>
  </si>
  <si>
    <t>Расстояние между центрами (нм → м)</t>
  </si>
  <si>
    <t>σ_avg = (σ_1 + σ_2) / 2</t>
  </si>
  <si>
    <t>Среднее между соседними вокселями</t>
  </si>
  <si>
    <t>ТУННЕЛЬНАЯ ПРОВОДИМОСТЬ</t>
  </si>
  <si>
    <t>G_tunnel = G_0 × exp(-β × gap)</t>
  </si>
  <si>
    <t>Квантовое туннелирование</t>
  </si>
  <si>
    <t>gap = distance - R_1 - R_2</t>
  </si>
  <si>
    <t>Реальный зазор между поверхностями</t>
  </si>
  <si>
    <t>distance = dist(axis_1, axis_2)</t>
  </si>
  <si>
    <t>Минимум между осями трубок</t>
  </si>
  <si>
    <t>G_0 = TUNNELING_G0 [См]</t>
  </si>
  <si>
    <t>β = TUNNELING_BETA [нм⁻¹]</t>
  </si>
  <si>
    <t>КИРХГОФФ (эффективная σ)</t>
  </si>
  <si>
    <t>σ_eff = I × L / (ΔV × A)</t>
  </si>
  <si>
    <t>Из решения сети</t>
  </si>
  <si>
    <t>I = Σ G_ij × (V_i - V_j)</t>
  </si>
  <si>
    <t>Ток через левую границу</t>
  </si>
  <si>
    <t>L = field_size × 10⁻⁹ [м]</t>
  </si>
  <si>
    <t>Длина в направлении тока</t>
  </si>
  <si>
    <t>A = (field_size × 10⁻⁹)² [м²]</t>
  </si>
  <si>
    <t>Площадь поперечного сечения</t>
  </si>
  <si>
    <t>ΔV = 1 В</t>
  </si>
  <si>
    <t>Разность потенциалов</t>
  </si>
  <si>
    <t>ПЕРКОЛЯЦИЯ (аналитика)</t>
  </si>
  <si>
    <t>σ_perc = σ_∥ × ((φ - φ_c) / φ_c)^t</t>
  </si>
  <si>
    <t>Степенной закон</t>
  </si>
  <si>
    <t>φ_c = PERCOLATION_THRESHOLD</t>
  </si>
  <si>
    <t>Критическая доля</t>
  </si>
  <si>
    <t>t = PERCOLATION_EXPONENT</t>
  </si>
  <si>
    <t>Применимо только при φ &gt; φ_c</t>
  </si>
  <si>
    <t>ЭФФЕКТИВНАЯ σ (упрощённая)</t>
  </si>
  <si>
    <t>σ_eff = σ_geom × CF / τ</t>
  </si>
  <si>
    <t>С учётом контактов и извилистости</t>
  </si>
  <si>
    <t>σ_geom = exp(⟨ln σ_i⟩)</t>
  </si>
  <si>
    <t>Геометрическое среднее</t>
  </si>
  <si>
    <t>CF = contact_factor</t>
  </si>
  <si>
    <t>Контактное сопротивление</t>
  </si>
  <si>
    <t>τ = tortuosity</t>
  </si>
  <si>
    <t>Извилистость пути тока</t>
  </si>
  <si>
    <t>ПРИОРИТЕТ МЕТОДОВ</t>
  </si>
  <si>
    <t>σ_final = σ_Kirchhoff if available</t>
  </si>
  <si>
    <t>Кирхгофф - наиболее точный</t>
  </si>
  <si>
    <t>σ_final = σ_eff otherwise</t>
  </si>
  <si>
    <t>Упрощённый при больших сетках</t>
  </si>
  <si>
    <t>ЭТАП</t>
  </si>
  <si>
    <t>ЧТО ДЕЛАТЬ</t>
  </si>
  <si>
    <t>ПРИМЕЧАНИЯ</t>
  </si>
  <si>
    <t>1. БАЗОВАЯ СИМУЛЯЦИЯ</t>
  </si>
  <si>
    <t>Запустить с текущими параметрами</t>
  </si>
  <si>
    <t>Получить базовое значение σ_base для сравнения</t>
  </si>
  <si>
    <t>Записать: σ_eff, φ, есть ли перколяция</t>
  </si>
  <si>
    <t>Это будет точка отсчёта</t>
  </si>
  <si>
    <t>2. ВАРЬИРОВАНИЕ ГЕОМЕТРИИ</t>
  </si>
  <si>
    <t>2.1. Изменить num_tubes</t>
  </si>
  <si>
    <t>50, 100, 200, 300, 500, 700, 1000 → получить σ(N)</t>
  </si>
  <si>
    <t>2.2. Изменить tube_length</t>
  </si>
  <si>
    <t>100, 150, 200, 250, 300, 400, 500 → получить σ(L)</t>
  </si>
  <si>
    <t>2.3. Изменить outer_radius</t>
  </si>
  <si>
    <t>0.5, 0.7, 1.0, 1.5, 2.0, 2.5, 3.0 → получить σ(R)</t>
  </si>
  <si>
    <t>2.4. Изменить aligned_jitter_deg</t>
  </si>
  <si>
    <t>0, 2, 4, 8, 15, 20, 30 → получить σ(jitter)</t>
  </si>
  <si>
    <t>Цель: понять геометрические зависимости</t>
  </si>
  <si>
    <t>3. ВЛИЯНИЕ АЭРОГЕЛЯ</t>
  </si>
  <si>
    <t>3.1. Изменить particle_to_total_ratio</t>
  </si>
  <si>
    <t>0.0, 0.1, 0.2, 0.33, 0.5, 0.7, 0.9 → σ(ratio)</t>
  </si>
  <si>
    <t>3.2. Изменить размеры частиц</t>
  </si>
  <si>
    <t>Радиус: 5, 10, 15, 20, 25, 30</t>
  </si>
  <si>
    <t>Цель: понять влияние матрицы-изолятора</t>
  </si>
  <si>
    <t>4. КАЛИБРОВКА КОНСТАНТ</t>
  </si>
  <si>
    <t>4.1. Изменить SIGMA_CNT_PARALLEL</t>
  </si>
  <si>
    <t>1e5, 3e5, 1e6, 3e6, 1e7</t>
  </si>
  <si>
    <t>4.2. Изменить TUNNELING_BETA</t>
  </si>
  <si>
    <t>1.0, 1.5, 2.0, 2.5, 3.0, 3.5, 4.0</t>
  </si>
  <si>
    <t>4.3. Изменить TUNNELING_G0</t>
  </si>
  <si>
    <t>1e-6, 1e-5, 1e-4, 1e-3, 1e-2</t>
  </si>
  <si>
    <t>4.4. Изменить MAX_TUNNEL_DISTANCE</t>
  </si>
  <si>
    <t>1.0, 1.5, 2.0, 2.5, 3.0, 4.0, 5.0</t>
  </si>
  <si>
    <t>Цель: подогнать под эксперимент</t>
  </si>
  <si>
    <t>5. СРАВНЕНИЕ С ЭКСПЕРИМЕНТОМ</t>
  </si>
  <si>
    <t>5.1. Получить данные от технолога</t>
  </si>
  <si>
    <t>Состав, геометрия, измеренная σ</t>
  </si>
  <si>
    <t>5.2. Подобрать соответствующие параметры</t>
  </si>
  <si>
    <t>Настроить num_tubes, length, radius под состав</t>
  </si>
  <si>
    <t>5.3. Сравнить σ_model vs σ_experiment</t>
  </si>
  <si>
    <t>Построить график, оценить отклонение</t>
  </si>
  <si>
    <t>5.4. Итерационная калибровка</t>
  </si>
  <si>
    <t>Подбор TUNNELING_BETA, G0, contact_factor</t>
  </si>
  <si>
    <t>6. ВАЛИДАЦИЯ</t>
  </si>
  <si>
    <t>6.1. Проверка на других точках</t>
  </si>
  <si>
    <t>Взять другие составы, предсказать σ</t>
  </si>
  <si>
    <t>6.2. Оценка точности модели</t>
  </si>
  <si>
    <t>RMSE, R², относительная ошибка</t>
  </si>
  <si>
    <t>6.3. Анализ чувствительности</t>
  </si>
  <si>
    <t>Какие параметры сильнее всего влияют</t>
  </si>
  <si>
    <t>Дата</t>
  </si>
  <si>
    <t>Файл</t>
  </si>
  <si>
    <t>Записей</t>
  </si>
  <si>
    <t>Концентраций</t>
  </si>
  <si>
    <t>Геометрии</t>
  </si>
  <si>
    <t>С перколяцией</t>
  </si>
  <si>
    <t>Seed</t>
  </si>
  <si>
    <t>Время [мин]</t>
  </si>
  <si>
    <t>Сид генерации</t>
  </si>
  <si>
    <t>Время расчёта [с]</t>
  </si>
  <si>
    <t>Примечания</t>
  </si>
  <si>
    <t>Фиксы</t>
  </si>
  <si>
    <t>01 20251201</t>
  </si>
  <si>
    <t>detailed_repeat_01_20251201_235232.csv</t>
  </si>
  <si>
    <t>21/25</t>
  </si>
  <si>
    <t>02 20251202</t>
  </si>
  <si>
    <t>detailed_repeat_02_20251202_001404.csv</t>
  </si>
  <si>
    <t>18/25</t>
  </si>
  <si>
    <t>03 20251202</t>
  </si>
  <si>
    <t>detailed_repeat_03_20251202_003543.csv</t>
  </si>
  <si>
    <t>19/25</t>
  </si>
  <si>
    <t>04 20251202</t>
  </si>
  <si>
    <t>detailed_repeat_04_20251202_005719.csv</t>
  </si>
  <si>
    <t>05 20251202</t>
  </si>
  <si>
    <t>detailed_repeat_05_20251202_011900.csv</t>
  </si>
  <si>
    <t>17/25</t>
  </si>
  <si>
    <t>06 20251202</t>
  </si>
  <si>
    <t>detailed_repeat_06_20251202_014038.csv</t>
  </si>
  <si>
    <t>20/25</t>
  </si>
  <si>
    <t>07 20251202</t>
  </si>
  <si>
    <t>detailed_repeat_07_20251202_020205.csv</t>
  </si>
  <si>
    <t>22/25</t>
  </si>
  <si>
    <t>08 20251202</t>
  </si>
  <si>
    <t>detailed_repeat_08_20251202_022329.csv</t>
  </si>
  <si>
    <t>09 20251202</t>
  </si>
  <si>
    <t>detailed_repeat_09_20251202_024504.csv</t>
  </si>
  <si>
    <t>16/25</t>
  </si>
  <si>
    <t>10 20251202</t>
  </si>
  <si>
    <t>detailed_repeat_10_20251202_030637.csv</t>
  </si>
  <si>
    <t>ИТОГО:</t>
  </si>
  <si>
    <t>193/250</t>
  </si>
  <si>
    <t>№ группы</t>
  </si>
  <si>
    <t>№</t>
  </si>
  <si>
    <t>Варьируемый параметр</t>
  </si>
  <si>
    <t>Значение параметра</t>
  </si>
  <si>
    <t>σ_effective [См/м]</t>
  </si>
  <si>
    <t>φ (объёмная доля)</t>
  </si>
  <si>
    <t>Нет перколяции</t>
  </si>
  <si>
    <t>СТАТИСТИКА ПО КОНЦЕНТРАЦИЯМ</t>
  </si>
  <si>
    <t>N трубок</t>
  </si>
  <si>
    <t>σ среднее [См/м]</t>
  </si>
  <si>
    <t>σ СКО [См/м]</t>
  </si>
  <si>
    <t>CV [%]</t>
  </si>
  <si>
    <t>φ среднее</t>
  </si>
  <si>
    <t>φ СКО</t>
  </si>
  <si>
    <t>Перколяция</t>
  </si>
  <si>
    <t>СТАТИСТИКА ПО ДЛИНЕ ТРУБОК</t>
  </si>
  <si>
    <t>L [нм]</t>
  </si>
  <si>
    <t>σ среднее</t>
  </si>
  <si>
    <t>σ СКО</t>
  </si>
  <si>
    <t>СТАТИСТИКА ПО ДЖИТТЕРУ</t>
  </si>
  <si>
    <t>Jitter [°]</t>
  </si>
  <si>
    <t>run_id</t>
  </si>
  <si>
    <t>label</t>
  </si>
  <si>
    <t>timestamp</t>
  </si>
  <si>
    <t>elapsed_time_sec</t>
  </si>
  <si>
    <t>tube_length_nm</t>
  </si>
  <si>
    <t>outer_radius_nm</t>
  </si>
  <si>
    <t>field_size_nm</t>
  </si>
  <si>
    <t>voxel_size_nm</t>
  </si>
  <si>
    <t>tubes_generated</t>
  </si>
  <si>
    <t>packing_density</t>
  </si>
  <si>
    <t>percolates</t>
  </si>
  <si>
    <t>volume_fraction</t>
  </si>
  <si>
    <t>sigma_effective_Sm</t>
  </si>
  <si>
    <t>sigma_kirchhoff_Sm</t>
  </si>
  <si>
    <t>calculation_method</t>
  </si>
  <si>
    <t>tortuosity</t>
  </si>
  <si>
    <t>contact_factor</t>
  </si>
  <si>
    <t>varied_parameter</t>
  </si>
  <si>
    <t>varied_value</t>
  </si>
  <si>
    <t>num_tubes=400</t>
  </si>
  <si>
    <t>10.0</t>
  </si>
  <si>
    <t>250.0</t>
  </si>
  <si>
    <t>1.0</t>
  </si>
  <si>
    <t>400.0</t>
  </si>
  <si>
    <t>4.0</t>
  </si>
  <si>
    <t>0.0049</t>
  </si>
  <si>
    <t>0.0</t>
  </si>
  <si>
    <t>N/A</t>
  </si>
  <si>
    <t>num_tubes=600</t>
  </si>
  <si>
    <t>14.7</t>
  </si>
  <si>
    <t>0.0074</t>
  </si>
  <si>
    <t>0.051804</t>
  </si>
  <si>
    <t>2.773271985068091</t>
  </si>
  <si>
    <t>Кирхгофф</t>
  </si>
  <si>
    <t>1.1</t>
  </si>
  <si>
    <t>0.05</t>
  </si>
  <si>
    <t>num_tubes=800</t>
  </si>
  <si>
    <t>20.6</t>
  </si>
  <si>
    <t>0.0098</t>
  </si>
  <si>
    <t>0.067114</t>
  </si>
  <si>
    <t>1580.7709572311069</t>
  </si>
  <si>
    <t>num_tubes=1000</t>
  </si>
  <si>
    <t>27.8</t>
  </si>
  <si>
    <t>0.0123</t>
  </si>
  <si>
    <t>0.083904</t>
  </si>
  <si>
    <t>2043.0116211996406</t>
  </si>
  <si>
    <t>num_tubes=1200</t>
  </si>
  <si>
    <t>37.1</t>
  </si>
  <si>
    <t>0.0147</t>
  </si>
  <si>
    <t>0.099156</t>
  </si>
  <si>
    <t>3188.1885668926466</t>
  </si>
  <si>
    <t>num_tubes=1500</t>
  </si>
  <si>
    <t>58.7</t>
  </si>
  <si>
    <t>0.0184</t>
  </si>
  <si>
    <t>0.122371</t>
  </si>
  <si>
    <t>5082.29497345194</t>
  </si>
  <si>
    <t>num_tubes=1800</t>
  </si>
  <si>
    <t>84.2</t>
  </si>
  <si>
    <t>0.0221</t>
  </si>
  <si>
    <t>0.142091</t>
  </si>
  <si>
    <t>8771.325756839899</t>
  </si>
  <si>
    <t>num_tubes=2000</t>
  </si>
  <si>
    <t>109.8</t>
  </si>
  <si>
    <t>0.0245</t>
  </si>
  <si>
    <t>0.15762</t>
  </si>
  <si>
    <t>61565.74429079095</t>
  </si>
  <si>
    <t>Х тренда</t>
  </si>
  <si>
    <t>Y тренд</t>
  </si>
  <si>
    <t>X error</t>
  </si>
  <si>
    <t>Y error</t>
  </si>
  <si>
    <t>φ%</t>
  </si>
  <si>
    <t>log₁₀(σ)</t>
  </si>
  <si>
    <t>График 1</t>
  </si>
  <si>
    <t>График 2</t>
  </si>
  <si>
    <t>log(σ)</t>
  </si>
  <si>
    <t>log(φ - φ_c)</t>
  </si>
  <si>
    <t>2.0, 3.0, 4.0</t>
  </si>
  <si>
    <t>150, 200, 250, 300, 400, 500</t>
  </si>
  <si>
    <t>0, 4, 8, 15, 30</t>
  </si>
  <si>
    <t>жёлтый - сделал</t>
  </si>
  <si>
    <t>сиреневый - не делал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</si>
</sst>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/>
  </cellStyleXfs>
  <cellXfs count="1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8" borderId="0" xfId="0" applyFont="1" applyFill="1" applyAlignment="1">
      <alignment horizontal="center" vertical="center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top" wrapText="1"/>
    </xf>
    <xf numFmtId="0" fontId="0" fillId="13" borderId="0" xfId="0" applyFill="1"/>
    <xf numFmtId="0" fontId="0" fillId="14" borderId="0" xfId="0" applyFill="1"/>
    <xf numFmtId="0" fontId="0" fillId="15" borderId="0" xfId="0" applyFill="1" applyAlignment="1">
      <alignment vertical="top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22" fontId="0" fillId="0" borderId="0" xfId="0" applyNumberFormat="1"/>
    <xf numFmtId="0" fontId="2" fillId="12" borderId="7" xfId="0" applyFont="1" applyFill="1" applyBorder="1" applyAlignment="1">
      <alignment horizontal="center" vertical="center" wrapText="1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6" xfId="0" applyBorder="1"/>
    <xf numFmtId="0" fontId="0" fillId="0" borderId="18" xfId="0" applyBorder="1" applyAlignment="1">
      <alignment horizontal="center" vertical="center"/>
    </xf>
    <xf numFmtId="14" fontId="0" fillId="0" borderId="19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2" fontId="0" fillId="0" borderId="18" xfId="0" applyNumberFormat="1" applyBorder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/>
    <xf numFmtId="0" fontId="0" fillId="0" borderId="11" xfId="0" applyBorder="1" applyAlignment="1">
      <alignment horizontal="center" vertical="center"/>
    </xf>
    <xf numFmtId="14" fontId="0" fillId="0" borderId="12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2" fontId="0" fillId="0" borderId="11" xfId="0" applyNumberFormat="1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164" fontId="0" fillId="0" borderId="12" xfId="1" applyNumberFormat="1" applyFont="1" applyBorder="1" applyAlignment="1">
      <alignment horizontal="right"/>
    </xf>
    <xf numFmtId="164" fontId="0" fillId="0" borderId="4" xfId="1" applyNumberFormat="1" applyFont="1" applyBorder="1" applyAlignment="1">
      <alignment horizontal="right"/>
    </xf>
    <xf numFmtId="164" fontId="0" fillId="0" borderId="19" xfId="1" applyNumberFormat="1" applyFont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7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8" fillId="18" borderId="0" xfId="0" applyFont="1" applyFill="1"/>
    <xf numFmtId="0" fontId="6" fillId="16" borderId="1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0" fillId="0" borderId="0" xfId="0"/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left"/>
    </xf>
    <xf numFmtId="2" fontId="0" fillId="0" borderId="0" xfId="0" applyNumberFormat="1" applyBorder="1"/>
    <xf numFmtId="0" fontId="0" fillId="0" borderId="0" xfId="0" applyBorder="1"/>
    <xf numFmtId="0" fontId="0" fillId="0" borderId="24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6" xfId="0" applyBorder="1" applyAlignment="1">
      <alignment horizontal="left"/>
    </xf>
    <xf numFmtId="2" fontId="0" fillId="0" borderId="26" xfId="0" applyNumberFormat="1" applyBorder="1"/>
    <xf numFmtId="0" fontId="0" fillId="0" borderId="5" xfId="0" applyBorder="1" applyAlignment="1">
      <alignment horizontal="left"/>
    </xf>
    <xf numFmtId="2" fontId="0" fillId="0" borderId="5" xfId="0" applyNumberFormat="1" applyBorder="1"/>
    <xf numFmtId="164" fontId="0" fillId="0" borderId="6" xfId="1" applyNumberFormat="1" applyFont="1" applyBorder="1" applyAlignment="1">
      <alignment horizontal="right"/>
    </xf>
    <xf numFmtId="0" fontId="0" fillId="0" borderId="27" xfId="0" applyBorder="1"/>
    <xf numFmtId="2" fontId="0" fillId="0" borderId="0" xfId="0" applyNumberFormat="1"/>
    <xf numFmtId="0" fontId="8" fillId="18" borderId="23" xfId="0" applyFont="1" applyFill="1" applyBorder="1"/>
    <xf numFmtId="0" fontId="1" fillId="18" borderId="24" xfId="0" applyFont="1" applyFill="1" applyBorder="1"/>
    <xf numFmtId="0" fontId="8" fillId="18" borderId="24" xfId="0" applyFont="1" applyFill="1" applyBorder="1"/>
    <xf numFmtId="0" fontId="8" fillId="18" borderId="14" xfId="0" applyFont="1" applyFill="1" applyBorder="1"/>
    <xf numFmtId="0" fontId="0" fillId="0" borderId="22" xfId="0" applyBorder="1"/>
    <xf numFmtId="164" fontId="0" fillId="0" borderId="0" xfId="0" applyNumberFormat="1" applyBorder="1"/>
    <xf numFmtId="0" fontId="0" fillId="0" borderId="25" xfId="0" applyBorder="1"/>
    <xf numFmtId="0" fontId="0" fillId="0" borderId="26" xfId="0" applyBorder="1"/>
    <xf numFmtId="164" fontId="0" fillId="0" borderId="26" xfId="0" applyNumberFormat="1" applyBorder="1"/>
    <xf numFmtId="164" fontId="0" fillId="0" borderId="22" xfId="0" applyNumberFormat="1" applyBorder="1"/>
    <xf numFmtId="2" fontId="9" fillId="0" borderId="16" xfId="0" applyNumberFormat="1" applyFont="1" applyBorder="1"/>
    <xf numFmtId="164" fontId="0" fillId="0" borderId="25" xfId="0" applyNumberFormat="1" applyBorder="1"/>
    <xf numFmtId="0" fontId="8" fillId="18" borderId="0" xfId="0" applyFont="1" applyFill="1" applyBorder="1"/>
    <xf numFmtId="0" fontId="10" fillId="18" borderId="24" xfId="0" applyFont="1" applyFill="1" applyBorder="1"/>
    <xf numFmtId="2" fontId="0" fillId="0" borderId="16" xfId="0" applyNumberFormat="1" applyBorder="1"/>
    <xf numFmtId="2" fontId="0" fillId="0" borderId="21" xfId="0" applyNumberFormat="1" applyBorder="1"/>
    <xf numFmtId="164" fontId="0" fillId="0" borderId="0" xfId="0" applyNumberFormat="1"/>
    <xf numFmtId="0" fontId="0" fillId="0" borderId="0" xfId="0"/>
    <xf numFmtId="0" fontId="0" fillId="0" borderId="3" xfId="0" applyBorder="1"/>
    <xf numFmtId="0" fontId="8" fillId="0" borderId="0" xfId="0" applyFont="1"/>
    <xf numFmtId="0" fontId="11" fillId="17" borderId="0" xfId="0" applyFont="1" applyFill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20" borderId="0" xfId="0" applyFont="1" applyFill="1" applyAlignment="1">
      <alignment horizontal="center"/>
    </xf>
    <xf numFmtId="0" fontId="7" fillId="19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0" i="0" u="none" strike="noStrike" baseline="0"/>
              <a:t>График </a:t>
            </a:r>
            <a:r>
              <a:rPr lang="en-US" sz="2000" b="0" i="0" u="none" strike="noStrike" baseline="0"/>
              <a:t>log₁₀(</a:t>
            </a:r>
            <a:r>
              <a:rPr lang="el-GR" sz="2000" b="0" i="0" u="none" strike="noStrike" baseline="0"/>
              <a:t>σ) </a:t>
            </a:r>
            <a:r>
              <a:rPr lang="ru-RU" sz="2000" b="0" i="0" u="none" strike="noStrike" baseline="0"/>
              <a:t>от </a:t>
            </a:r>
            <a:r>
              <a:rPr lang="el-GR" sz="2000" b="0" i="0" u="none" strike="noStrike" baseline="0"/>
              <a:t>φ%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'Концентрационные результаты'!$L$147:$L$160</c:f>
                <c:numCache>
                  <c:formatCode>General</c:formatCode>
                  <c:ptCount val="14"/>
                  <c:pt idx="0">
                    <c:v>3.244071515857811E-5</c:v>
                  </c:pt>
                  <c:pt idx="1">
                    <c:v>3.8099431316840678E-5</c:v>
                  </c:pt>
                  <c:pt idx="2">
                    <c:v>2.3939971224339924E-5</c:v>
                  </c:pt>
                  <c:pt idx="3">
                    <c:v>2.3971279111099275E-5</c:v>
                  </c:pt>
                  <c:pt idx="4">
                    <c:v>3.9183896919241956E-5</c:v>
                  </c:pt>
                  <c:pt idx="5">
                    <c:v>2.3642005931063564E-5</c:v>
                  </c:pt>
                  <c:pt idx="6">
                    <c:v>3.5110777072953904E-5</c:v>
                  </c:pt>
                  <c:pt idx="7">
                    <c:v>3.0830900804946411E-5</c:v>
                  </c:pt>
                  <c:pt idx="8">
                    <c:v>3.1207014880917084E-5</c:v>
                  </c:pt>
                  <c:pt idx="9">
                    <c:v>3.773724950231528E-5</c:v>
                  </c:pt>
                  <c:pt idx="10">
                    <c:v>3.7247520424556766E-5</c:v>
                  </c:pt>
                  <c:pt idx="11">
                    <c:v>4.369146878332707E-5</c:v>
                  </c:pt>
                  <c:pt idx="12">
                    <c:v>5.5300793645098597E-5</c:v>
                  </c:pt>
                  <c:pt idx="13">
                    <c:v>6.4003558928824668E-5</c:v>
                  </c:pt>
                </c:numCache>
              </c:numRef>
            </c:plus>
            <c:minus>
              <c:numRef>
                <c:f>'Концентрационные результаты'!$L$147:$L$160</c:f>
                <c:numCache>
                  <c:formatCode>General</c:formatCode>
                  <c:ptCount val="14"/>
                  <c:pt idx="0">
                    <c:v>3.244071515857811E-5</c:v>
                  </c:pt>
                  <c:pt idx="1">
                    <c:v>3.8099431316840678E-5</c:v>
                  </c:pt>
                  <c:pt idx="2">
                    <c:v>2.3939971224339924E-5</c:v>
                  </c:pt>
                  <c:pt idx="3">
                    <c:v>2.3971279111099275E-5</c:v>
                  </c:pt>
                  <c:pt idx="4">
                    <c:v>3.9183896919241956E-5</c:v>
                  </c:pt>
                  <c:pt idx="5">
                    <c:v>2.3642005931063564E-5</c:v>
                  </c:pt>
                  <c:pt idx="6">
                    <c:v>3.5110777072953904E-5</c:v>
                  </c:pt>
                  <c:pt idx="7">
                    <c:v>3.0830900804946411E-5</c:v>
                  </c:pt>
                  <c:pt idx="8">
                    <c:v>3.1207014880917084E-5</c:v>
                  </c:pt>
                  <c:pt idx="9">
                    <c:v>3.773724950231528E-5</c:v>
                  </c:pt>
                  <c:pt idx="10">
                    <c:v>3.7247520424556766E-5</c:v>
                  </c:pt>
                  <c:pt idx="11">
                    <c:v>4.369146878332707E-5</c:v>
                  </c:pt>
                  <c:pt idx="12">
                    <c:v>5.5300793645098597E-5</c:v>
                  </c:pt>
                  <c:pt idx="13">
                    <c:v>6.4003558928824668E-5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'Концентрационные результаты'!$K$147:$K$160</c:f>
                <c:numCache>
                  <c:formatCode>General</c:formatCode>
                  <c:ptCount val="14"/>
                  <c:pt idx="0">
                    <c:v>0.53598410861888157</c:v>
                  </c:pt>
                  <c:pt idx="1">
                    <c:v>0.48554715415250249</c:v>
                  </c:pt>
                  <c:pt idx="2">
                    <c:v>0.55012732400997444</c:v>
                  </c:pt>
                  <c:pt idx="3">
                    <c:v>0.53007804411103332</c:v>
                  </c:pt>
                  <c:pt idx="4">
                    <c:v>0.34101644488954386</c:v>
                  </c:pt>
                  <c:pt idx="5">
                    <c:v>0.30646211181826755</c:v>
                  </c:pt>
                  <c:pt idx="6">
                    <c:v>0.3278049026421197</c:v>
                  </c:pt>
                  <c:pt idx="7">
                    <c:v>0.32078636941788274</c:v>
                  </c:pt>
                  <c:pt idx="8">
                    <c:v>0.22347418760746285</c:v>
                  </c:pt>
                  <c:pt idx="9">
                    <c:v>0.17533212031029244</c:v>
                  </c:pt>
                  <c:pt idx="10">
                    <c:v>0.24459650008831835</c:v>
                  </c:pt>
                  <c:pt idx="11">
                    <c:v>0.15250973587682637</c:v>
                  </c:pt>
                  <c:pt idx="12">
                    <c:v>5.9435992428392481E-2</c:v>
                  </c:pt>
                  <c:pt idx="13">
                    <c:v>7.3708222090640874E-2</c:v>
                  </c:pt>
                </c:numCache>
              </c:numRef>
            </c:plus>
            <c:minus>
              <c:numRef>
                <c:f>'Концентрационные результаты'!$K$147:$K$160</c:f>
                <c:numCache>
                  <c:formatCode>General</c:formatCode>
                  <c:ptCount val="14"/>
                  <c:pt idx="0">
                    <c:v>0.53598410861888157</c:v>
                  </c:pt>
                  <c:pt idx="1">
                    <c:v>0.48554715415250249</c:v>
                  </c:pt>
                  <c:pt idx="2">
                    <c:v>0.55012732400997444</c:v>
                  </c:pt>
                  <c:pt idx="3">
                    <c:v>0.53007804411103332</c:v>
                  </c:pt>
                  <c:pt idx="4">
                    <c:v>0.34101644488954386</c:v>
                  </c:pt>
                  <c:pt idx="5">
                    <c:v>0.30646211181826755</c:v>
                  </c:pt>
                  <c:pt idx="6">
                    <c:v>0.3278049026421197</c:v>
                  </c:pt>
                  <c:pt idx="7">
                    <c:v>0.32078636941788274</c:v>
                  </c:pt>
                  <c:pt idx="8">
                    <c:v>0.22347418760746285</c:v>
                  </c:pt>
                  <c:pt idx="9">
                    <c:v>0.17533212031029244</c:v>
                  </c:pt>
                  <c:pt idx="10">
                    <c:v>0.24459650008831835</c:v>
                  </c:pt>
                  <c:pt idx="11">
                    <c:v>0.15250973587682637</c:v>
                  </c:pt>
                  <c:pt idx="12">
                    <c:v>5.9435992428392481E-2</c:v>
                  </c:pt>
                  <c:pt idx="13">
                    <c:v>7.3708222090640874E-2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'Концентрационные результаты'!$I$147:$I$160</c:f>
              <c:numCache>
                <c:formatCode>0.0000%</c:formatCode>
                <c:ptCount val="14"/>
                <c:pt idx="0">
                  <c:v>1.9137999999999998E-3</c:v>
                </c:pt>
                <c:pt idx="1">
                  <c:v>2.1817E-3</c:v>
                </c:pt>
                <c:pt idx="2">
                  <c:v>2.4477000000000001E-3</c:v>
                </c:pt>
                <c:pt idx="3">
                  <c:v>2.7087999999999999E-3</c:v>
                </c:pt>
                <c:pt idx="4">
                  <c:v>2.9716E-3</c:v>
                </c:pt>
                <c:pt idx="5">
                  <c:v>3.2335000000000003E-3</c:v>
                </c:pt>
                <c:pt idx="6">
                  <c:v>3.4881000000000001E-3</c:v>
                </c:pt>
                <c:pt idx="7">
                  <c:v>3.7388999999999999E-3</c:v>
                </c:pt>
                <c:pt idx="8">
                  <c:v>4.0001000000000004E-3</c:v>
                </c:pt>
                <c:pt idx="9">
                  <c:v>4.2598999999999996E-3</c:v>
                </c:pt>
                <c:pt idx="10">
                  <c:v>4.5003999999999999E-3</c:v>
                </c:pt>
                <c:pt idx="11">
                  <c:v>5.2664999999999995E-3</c:v>
                </c:pt>
                <c:pt idx="12">
                  <c:v>7.6791999999999997E-3</c:v>
                </c:pt>
                <c:pt idx="13">
                  <c:v>1.00327E-2</c:v>
                </c:pt>
              </c:numCache>
            </c:numRef>
          </c:xVal>
          <c:yVal>
            <c:numRef>
              <c:f>'Концентрационные результаты'!$J$147:$J$160</c:f>
              <c:numCache>
                <c:formatCode>General</c:formatCode>
                <c:ptCount val="14"/>
                <c:pt idx="0" formatCode="0.00">
                  <c:v>0.68133778162926328</c:v>
                </c:pt>
                <c:pt idx="1">
                  <c:v>1.6147754079494232</c:v>
                </c:pt>
                <c:pt idx="2">
                  <c:v>1.4341905789976841</c:v>
                </c:pt>
                <c:pt idx="3">
                  <c:v>1.4587669683783993</c:v>
                </c:pt>
                <c:pt idx="4">
                  <c:v>1.791577117811322</c:v>
                </c:pt>
                <c:pt idx="5">
                  <c:v>1.9389447923228531</c:v>
                </c:pt>
                <c:pt idx="6">
                  <c:v>2.103882241671347</c:v>
                </c:pt>
                <c:pt idx="7">
                  <c:v>1.9599546310672598</c:v>
                </c:pt>
                <c:pt idx="8">
                  <c:v>2.2366400647150009</c:v>
                </c:pt>
                <c:pt idx="9">
                  <c:v>2.4198645338285947</c:v>
                </c:pt>
                <c:pt idx="10">
                  <c:v>2.4143818652532252</c:v>
                </c:pt>
                <c:pt idx="11">
                  <c:v>2.6944351681108594</c:v>
                </c:pt>
                <c:pt idx="12">
                  <c:v>3.2054614334168994</c:v>
                </c:pt>
                <c:pt idx="13">
                  <c:v>3.5587550672155612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0C-4E36-9E05-77BECF56266C}"/>
            </c:ext>
          </c:extLst>
        </c:ser>
        <c:ser>
          <c:idx val="1"/>
          <c:order val="1"/>
          <c:tx>
            <c:v>trend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2.3197068887876272E-3"/>
                  <c:y val="-6.37470317534617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'Концентрационные результаты'!$M$157:$M$160</c:f>
              <c:numCache>
                <c:formatCode>0.0000%</c:formatCode>
                <c:ptCount val="4"/>
                <c:pt idx="0">
                  <c:v>4.5003999999999999E-3</c:v>
                </c:pt>
                <c:pt idx="1">
                  <c:v>5.2664999999999995E-3</c:v>
                </c:pt>
                <c:pt idx="2">
                  <c:v>7.6791999999999997E-3</c:v>
                </c:pt>
                <c:pt idx="3">
                  <c:v>1.00327E-2</c:v>
                </c:pt>
              </c:numCache>
            </c:numRef>
          </c:xVal>
          <c:yVal>
            <c:numRef>
              <c:f>'Концентрационные результаты'!$N$157:$N$160</c:f>
              <c:numCache>
                <c:formatCode>General</c:formatCode>
                <c:ptCount val="4"/>
                <c:pt idx="0">
                  <c:v>2.4143818652532252</c:v>
                </c:pt>
                <c:pt idx="1">
                  <c:v>2.6944351681108594</c:v>
                </c:pt>
                <c:pt idx="2">
                  <c:v>3.2054614334168994</c:v>
                </c:pt>
                <c:pt idx="3">
                  <c:v>3.5587550672155612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0C-4E36-9E05-77BECF56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934063"/>
        <c:axId val="422934479"/>
      </c:scatterChart>
      <c:valAx>
        <c:axId val="422934063"/>
        <c:scaling>
          <c:orientation val="minMax"/>
          <c:max val="1.0100000000000001E-2"/>
          <c:min val="1.9000000000000006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baseline="0"/>
                  <a:t>φ%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934479"/>
        <c:crosses val="autoZero"/>
        <c:crossBetween val="midCat"/>
      </c:valAx>
      <c:valAx>
        <c:axId val="422934479"/>
        <c:scaling>
          <c:orientation val="minMax"/>
          <c:max val="3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baseline="0"/>
                  <a:t>log₁₀(</a:t>
                </a:r>
                <a:r>
                  <a:rPr lang="el-GR" sz="1800" b="0" i="0" u="none" strike="noStrike" baseline="0"/>
                  <a:t>σ)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93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0" i="0" u="none" strike="noStrike" baseline="0">
                <a:effectLst/>
              </a:rPr>
              <a:t>График </a:t>
            </a:r>
            <a:r>
              <a:rPr lang="en-US" sz="2000" b="0" i="0" u="none" strike="noStrike" baseline="0"/>
              <a:t>log(</a:t>
            </a:r>
            <a:r>
              <a:rPr lang="el-GR" sz="2000" b="0" i="0" u="none" strike="noStrike" baseline="0"/>
              <a:t>σ) </a:t>
            </a:r>
            <a:r>
              <a:rPr lang="ru-RU" sz="2000" b="0" i="0" u="none" strike="noStrike" baseline="0"/>
              <a:t>от </a:t>
            </a:r>
            <a:r>
              <a:rPr lang="en-US" sz="2000" b="0" i="0" u="none" strike="noStrike" baseline="0"/>
              <a:t>log(</a:t>
            </a:r>
            <a:r>
              <a:rPr lang="el-GR" sz="2000" b="0" i="0" u="none" strike="noStrike" baseline="0"/>
              <a:t>φ - φ_</a:t>
            </a:r>
            <a:r>
              <a:rPr lang="en-US" sz="2000" b="0" i="0" u="none" strike="noStrike" baseline="0"/>
              <a:t>c)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634098857091532"/>
          <c:y val="0.12077930005049581"/>
          <c:w val="0.82019282144926231"/>
          <c:h val="0.740107069700412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'Концентрационные результаты'!$Q$156</c:f>
              <c:strCache>
                <c:ptCount val="1"/>
                <c:pt idx="0">
                  <c:v>log(φ - φ_c)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638255213255484E-3"/>
                  <c:y val="0.242857063585867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'Концентрационные результаты'!$Q$157:$Q$160</c:f>
              <c:numCache>
                <c:formatCode>General</c:formatCode>
                <c:ptCount val="4"/>
                <c:pt idx="0">
                  <c:v>-2.7446309957335586</c:v>
                </c:pt>
                <c:pt idx="1">
                  <c:v>-2.5906587314032188</c:v>
                </c:pt>
                <c:pt idx="2">
                  <c:v>-2.3028404290264239</c:v>
                </c:pt>
                <c:pt idx="3">
                  <c:v>-2.1347360827678905</c:v>
                </c:pt>
              </c:numCache>
            </c:numRef>
          </c:xVal>
          <c:yVal>
            <c:numRef>
              <c:f>'Концентрационные результаты'!$P$157:$P$160</c:f>
              <c:numCache>
                <c:formatCode>General</c:formatCode>
                <c:ptCount val="4"/>
                <c:pt idx="0">
                  <c:v>2.4143818652532252</c:v>
                </c:pt>
                <c:pt idx="1">
                  <c:v>2.6944351681108594</c:v>
                </c:pt>
                <c:pt idx="2">
                  <c:v>3.2054614334168994</c:v>
                </c:pt>
                <c:pt idx="3">
                  <c:v>3.5587550672155612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BC-4FC2-8D92-3211CF68D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934623"/>
        <c:axId val="663938783"/>
      </c:scatterChart>
      <c:valAx>
        <c:axId val="663934623"/>
        <c:scaling>
          <c:orientation val="minMax"/>
          <c:max val="-2.1"/>
          <c:min val="-2.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baseline="0"/>
                  <a:t>log₁₀(</a:t>
                </a:r>
                <a:r>
                  <a:rPr lang="el-GR" sz="1800" b="0" i="0" u="none" strike="noStrike" baseline="0"/>
                  <a:t>φ - φ_</a:t>
                </a:r>
                <a:r>
                  <a:rPr lang="en-US" sz="1800" b="0" i="0" u="none" strike="noStrike" baseline="0"/>
                  <a:t>c)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938783"/>
        <c:crosses val="autoZero"/>
        <c:crossBetween val="midCat"/>
      </c:valAx>
      <c:valAx>
        <c:axId val="663938783"/>
        <c:scaling>
          <c:orientation val="minMax"/>
          <c:max val="3.6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baseline="0"/>
                  <a:t>log₁₀(</a:t>
                </a:r>
                <a:r>
                  <a:rPr lang="el-GR" sz="1800" b="0" i="0" u="none" strike="noStrike" baseline="0"/>
                  <a:t>σ)</a:t>
                </a:r>
                <a:endParaRPr lang="en-US" sz="3600"/>
              </a:p>
            </c:rich>
          </c:tx>
          <c:layout>
            <c:manualLayout>
              <c:xMode val="edge"/>
              <c:yMode val="edge"/>
              <c:x val="5.4587731292860771E-2"/>
              <c:y val="0.41465243905822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93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/>
              <a:t>График </a:t>
            </a:r>
            <a:r>
              <a:rPr lang="el-GR" sz="1800" b="0" i="0" u="none" strike="noStrike" baseline="0"/>
              <a:t>σ(</a:t>
            </a:r>
            <a:r>
              <a:rPr lang="en-US" sz="1800" b="0" i="0" u="none" strike="noStrike" baseline="0"/>
              <a:t>jitter)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'Геометрические результаты'!$K$117:$K$121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0.21990247792505357</c:v>
                  </c:pt>
                  <c:pt idx="2">
                    <c:v>0.19296634162131276</c:v>
                  </c:pt>
                  <c:pt idx="3">
                    <c:v>0.25572919409935579</c:v>
                  </c:pt>
                  <c:pt idx="4">
                    <c:v>0.16681877406650569</c:v>
                  </c:pt>
                </c:numCache>
              </c:numRef>
            </c:plus>
            <c:minus>
              <c:numRef>
                <c:f>'Геометрические результаты'!$K$117:$K$121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0.21990247792505357</c:v>
                  </c:pt>
                  <c:pt idx="2">
                    <c:v>0.19296634162131276</c:v>
                  </c:pt>
                  <c:pt idx="3">
                    <c:v>0.25572919409935579</c:v>
                  </c:pt>
                  <c:pt idx="4">
                    <c:v>0.16681877406650569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'Геометрические результаты'!$I$117:$I$121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15</c:v>
                </c:pt>
                <c:pt idx="4">
                  <c:v>30</c:v>
                </c:pt>
              </c:numCache>
            </c:numRef>
          </c:xVal>
          <c:yVal>
            <c:numRef>
              <c:f>'Геометрические результаты'!$J$117:$J$121</c:f>
              <c:numCache>
                <c:formatCode>General</c:formatCode>
                <c:ptCount val="5"/>
                <c:pt idx="0">
                  <c:v>0</c:v>
                </c:pt>
                <c:pt idx="1">
                  <c:v>2.7087844486970885</c:v>
                </c:pt>
                <c:pt idx="2">
                  <c:v>2.614164008821056</c:v>
                </c:pt>
                <c:pt idx="3">
                  <c:v>2.5431868322754756</c:v>
                </c:pt>
                <c:pt idx="4">
                  <c:v>2.722800238738234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5F-4AEF-9538-9CE26D359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49119"/>
        <c:axId val="414249535"/>
      </c:scatterChart>
      <c:valAx>
        <c:axId val="41424911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Jitter [°]</a:t>
                </a:r>
                <a:r>
                  <a:rPr lang="en-US" sz="1600" b="0" i="0" u="none" strike="noStrike" baseline="0"/>
                  <a:t> 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249535"/>
        <c:crosses val="autoZero"/>
        <c:crossBetween val="midCat"/>
      </c:valAx>
      <c:valAx>
        <c:axId val="414249535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log₁₀(</a:t>
                </a:r>
                <a:r>
                  <a:rPr lang="el-GR" sz="1600"/>
                  <a:t>σ)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24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ru-RU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График σ(L)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ru-RU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'Геометрические результаты'!$K$128:$K$133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0.46902190910165609</c:v>
                  </c:pt>
                  <c:pt idx="2">
                    <c:v>0.15955577965055445</c:v>
                  </c:pt>
                  <c:pt idx="3">
                    <c:v>8.612147472658771E-2</c:v>
                  </c:pt>
                  <c:pt idx="4">
                    <c:v>5.4867627061730762E-2</c:v>
                  </c:pt>
                  <c:pt idx="5">
                    <c:v>7.8064834699035579E-2</c:v>
                  </c:pt>
                </c:numCache>
              </c:numRef>
            </c:plus>
            <c:minus>
              <c:numRef>
                <c:f>'Геометрические результаты'!$K$128:$K$133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0.46902190910165609</c:v>
                  </c:pt>
                  <c:pt idx="2">
                    <c:v>0.15955577965055445</c:v>
                  </c:pt>
                  <c:pt idx="3">
                    <c:v>8.612147472658771E-2</c:v>
                  </c:pt>
                  <c:pt idx="4">
                    <c:v>5.4867627061730762E-2</c:v>
                  </c:pt>
                  <c:pt idx="5">
                    <c:v>7.8064834699035579E-2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'Геометрические результаты'!$I$128:$I$133</c:f>
              <c:numCache>
                <c:formatCode>General</c:formatCode>
                <c:ptCount val="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'Геометрические результаты'!$J$128:$J$133</c:f>
              <c:numCache>
                <c:formatCode>General</c:formatCode>
                <c:ptCount val="6"/>
                <c:pt idx="0">
                  <c:v>0</c:v>
                </c:pt>
                <c:pt idx="1">
                  <c:v>1.6649802765114547</c:v>
                </c:pt>
                <c:pt idx="2">
                  <c:v>2.6379079612578136</c:v>
                </c:pt>
                <c:pt idx="3">
                  <c:v>3.2484089766431854</c:v>
                </c:pt>
                <c:pt idx="4">
                  <c:v>3.8859109915495389</c:v>
                </c:pt>
                <c:pt idx="5">
                  <c:v>4.2158455831484023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05-4C5D-BA20-E1D2D0DB9DA5}"/>
            </c:ext>
          </c:extLst>
        </c:ser>
        <c:ser>
          <c:idx val="1"/>
          <c:order val="1"/>
          <c:tx>
            <c:v>trend</c:v>
          </c:tx>
          <c:spPr>
            <a:ln w="19050" cap="rnd">
              <a:solidFill>
                <a:schemeClr val="accent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877535143563279"/>
                  <c:y val="-4.4573628732615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'Геометрические результаты'!$L$129:$L$133</c:f>
              <c:numCache>
                <c:formatCode>General</c:formatCode>
                <c:ptCount val="5"/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'Геометрические результаты'!$M$129:$M$133</c:f>
              <c:numCache>
                <c:formatCode>General</c:formatCode>
                <c:ptCount val="5"/>
                <c:pt idx="2">
                  <c:v>3.2484089766431854</c:v>
                </c:pt>
                <c:pt idx="3">
                  <c:v>3.8859109915495389</c:v>
                </c:pt>
                <c:pt idx="4">
                  <c:v>4.2158455831484023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05-4C5D-BA20-E1D2D0DB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66879"/>
        <c:axId val="666065215"/>
      </c:scatterChart>
      <c:valAx>
        <c:axId val="666066879"/>
        <c:scaling>
          <c:orientation val="minMax"/>
          <c:max val="50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+mn-lt"/>
                    <a:ea typeface="+mn-ea"/>
                    <a:cs typeface="+mn-cs"/>
                  </a:rPr>
                  <a:t>L [нм]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6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065215"/>
        <c:crosses val="autoZero"/>
        <c:crossBetween val="midCat"/>
      </c:valAx>
      <c:valAx>
        <c:axId val="666065215"/>
        <c:scaling>
          <c:orientation val="minMax"/>
          <c:max val="4.4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log₁₀(σ)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06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1141503</xdr:colOff>
      <xdr:row>161</xdr:row>
      <xdr:rowOff>184795</xdr:rowOff>
    </xdr:from>
    <xdr:to>
      <xdr:col>13</xdr:col>
      <xdr:colOff>429614</xdr:colOff>
      <xdr:row>183</xdr:row>
      <xdr:rowOff>33638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006C5-86DC-43E8-9982-E4F513EC4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286311</xdr:colOff>
      <xdr:row>162</xdr:row>
      <xdr:rowOff>84043</xdr:rowOff>
    </xdr:from>
    <xdr:to>
      <xdr:col>23</xdr:col>
      <xdr:colOff>545166</xdr:colOff>
      <xdr:row>186</xdr:row>
      <xdr:rowOff>31376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99DE23-8701-4A18-ACB1-9730D2105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446668</xdr:colOff>
      <xdr:row>105</xdr:row>
      <xdr:rowOff>7453</xdr:rowOff>
    </xdr:from>
    <xdr:to>
      <xdr:col>20</xdr:col>
      <xdr:colOff>447852</xdr:colOff>
      <xdr:row>124</xdr:row>
      <xdr:rowOff>38453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F1CE56-4A46-49B2-81C0-754C7368D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199918</xdr:colOff>
      <xdr:row>125</xdr:row>
      <xdr:rowOff>16656</xdr:rowOff>
    </xdr:from>
    <xdr:to>
      <xdr:col>22</xdr:col>
      <xdr:colOff>221809</xdr:colOff>
      <xdr:row>144</xdr:row>
      <xdr:rowOff>64720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35F42D-E362-4EFD-B9A0-FAD771C6B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5703125" style="23" bestFit="1" customWidth="1"/>
    <col min="2" max="2" width="25" style="23" customWidth="1"/>
    <col min="3" max="3" width="23" style="23" customWidth="1"/>
    <col min="4" max="4" width="15" style="23" customWidth="1"/>
    <col min="5" max="5" width="10" style="23" customWidth="1"/>
    <col min="6" max="6" width="22" style="23" customWidth="1"/>
    <col min="7" max="7" width="30" style="23" customWidth="1"/>
    <col min="8" max="8" width="40" style="23" customWidth="1"/>
    <col min="9" max="9" width="45" style="23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5">
      <c r="A2" s="2" t="s">
        <v>9</v>
      </c>
      <c r="B2" s="3" t="s">
        <v>10</v>
      </c>
      <c r="C2" s="3" t="s">
        <v>11</v>
      </c>
      <c r="D2" s="16">
        <v>1000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30" customHeight="1" x14ac:dyDescent="0.25">
      <c r="A3" s="2" t="s">
        <v>9</v>
      </c>
      <c r="B3" s="3" t="s">
        <v>17</v>
      </c>
      <c r="C3" s="3" t="s">
        <v>18</v>
      </c>
      <c r="D3" s="16">
        <v>250</v>
      </c>
      <c r="E3" s="3" t="s">
        <v>19</v>
      </c>
      <c r="F3" s="3" t="s">
        <v>20</v>
      </c>
      <c r="G3" s="3" t="s">
        <v>433</v>
      </c>
      <c r="H3" s="3" t="s">
        <v>21</v>
      </c>
      <c r="I3" s="3" t="s">
        <v>22</v>
      </c>
    </row>
    <row r="4" spans="1:9" ht="30" customHeight="1" x14ac:dyDescent="0.25">
      <c r="A4" s="2" t="s">
        <v>9</v>
      </c>
      <c r="B4" s="3" t="s">
        <v>23</v>
      </c>
      <c r="C4" s="3" t="s">
        <v>24</v>
      </c>
      <c r="D4" s="17">
        <v>1</v>
      </c>
      <c r="E4" s="3" t="s">
        <v>19</v>
      </c>
      <c r="F4" s="3" t="s">
        <v>25</v>
      </c>
      <c r="G4" s="3" t="s">
        <v>54</v>
      </c>
      <c r="H4" s="3" t="s">
        <v>26</v>
      </c>
      <c r="I4" s="3" t="s">
        <v>27</v>
      </c>
    </row>
    <row r="5" spans="1:9" ht="32.25" customHeight="1" x14ac:dyDescent="0.25">
      <c r="A5" s="2" t="s">
        <v>9</v>
      </c>
      <c r="B5" s="3" t="s">
        <v>28</v>
      </c>
      <c r="C5" s="3" t="s">
        <v>29</v>
      </c>
      <c r="D5" s="17">
        <v>0.66</v>
      </c>
      <c r="E5" s="3" t="s">
        <v>19</v>
      </c>
      <c r="F5" s="3" t="s">
        <v>30</v>
      </c>
      <c r="G5" s="3" t="s">
        <v>54</v>
      </c>
      <c r="H5" s="3" t="s">
        <v>31</v>
      </c>
      <c r="I5" s="3" t="s">
        <v>32</v>
      </c>
    </row>
    <row r="6" spans="1:9" ht="30" customHeight="1" x14ac:dyDescent="0.25">
      <c r="A6" s="4" t="s">
        <v>33</v>
      </c>
      <c r="B6" s="3" t="s">
        <v>34</v>
      </c>
      <c r="C6" s="3" t="s">
        <v>35</v>
      </c>
      <c r="D6" s="17">
        <v>400</v>
      </c>
      <c r="E6" s="3" t="s">
        <v>19</v>
      </c>
      <c r="F6" s="3" t="s">
        <v>36</v>
      </c>
      <c r="G6" s="3" t="s">
        <v>54</v>
      </c>
      <c r="H6" s="3" t="s">
        <v>37</v>
      </c>
      <c r="I6" s="3" t="s">
        <v>38</v>
      </c>
    </row>
    <row r="7" spans="1:9" ht="30" customHeight="1" x14ac:dyDescent="0.25">
      <c r="A7" s="4" t="s">
        <v>33</v>
      </c>
      <c r="B7" s="3" t="s">
        <v>39</v>
      </c>
      <c r="C7" s="3" t="s">
        <v>40</v>
      </c>
      <c r="D7" s="16">
        <v>2</v>
      </c>
      <c r="E7" s="3" t="s">
        <v>19</v>
      </c>
      <c r="F7" s="3" t="s">
        <v>41</v>
      </c>
      <c r="G7" s="3" t="s">
        <v>432</v>
      </c>
      <c r="H7" s="3" t="s">
        <v>42</v>
      </c>
      <c r="I7" s="3" t="s">
        <v>43</v>
      </c>
    </row>
    <row r="8" spans="1:9" ht="30" customHeight="1" x14ac:dyDescent="0.25">
      <c r="A8" s="5" t="s">
        <v>44</v>
      </c>
      <c r="B8" s="3" t="s">
        <v>45</v>
      </c>
      <c r="C8" s="3" t="s">
        <v>46</v>
      </c>
      <c r="D8" s="16">
        <v>4</v>
      </c>
      <c r="E8" s="3" t="s">
        <v>47</v>
      </c>
      <c r="F8" s="3" t="s">
        <v>48</v>
      </c>
      <c r="G8" s="3" t="s">
        <v>434</v>
      </c>
      <c r="H8" s="3" t="s">
        <v>49</v>
      </c>
      <c r="I8" s="3" t="s">
        <v>50</v>
      </c>
    </row>
    <row r="9" spans="1:9" ht="30.75" customHeight="1" x14ac:dyDescent="0.25">
      <c r="A9" s="5" t="s">
        <v>44</v>
      </c>
      <c r="B9" s="3" t="s">
        <v>51</v>
      </c>
      <c r="C9" s="3" t="s">
        <v>52</v>
      </c>
      <c r="D9" s="17" t="s">
        <v>53</v>
      </c>
      <c r="E9" s="3" t="s">
        <v>54</v>
      </c>
      <c r="F9" s="3" t="s">
        <v>55</v>
      </c>
      <c r="G9" s="3" t="s">
        <v>54</v>
      </c>
      <c r="H9" s="3" t="s">
        <v>56</v>
      </c>
      <c r="I9" s="3" t="s">
        <v>57</v>
      </c>
    </row>
    <row r="10" spans="1:9" ht="28.5" customHeight="1" x14ac:dyDescent="0.25">
      <c r="A10" s="6" t="s">
        <v>58</v>
      </c>
      <c r="B10" s="3" t="s">
        <v>59</v>
      </c>
      <c r="C10" s="3" t="s">
        <v>60</v>
      </c>
      <c r="D10" s="17" t="b">
        <v>1</v>
      </c>
      <c r="E10" s="3" t="s">
        <v>54</v>
      </c>
      <c r="F10" s="3" t="s">
        <v>61</v>
      </c>
      <c r="G10" s="3" t="s">
        <v>54</v>
      </c>
      <c r="H10" s="3" t="s">
        <v>62</v>
      </c>
      <c r="I10" s="3" t="s">
        <v>63</v>
      </c>
    </row>
    <row r="11" spans="1:9" x14ac:dyDescent="0.25">
      <c r="A11" s="6" t="s">
        <v>58</v>
      </c>
      <c r="B11" s="3" t="s">
        <v>64</v>
      </c>
      <c r="C11" s="3" t="s">
        <v>65</v>
      </c>
      <c r="D11" s="17">
        <v>0</v>
      </c>
      <c r="E11" s="3" t="s">
        <v>54</v>
      </c>
      <c r="F11" s="3" t="s">
        <v>66</v>
      </c>
      <c r="G11" s="3" t="s">
        <v>54</v>
      </c>
      <c r="H11" s="3" t="s">
        <v>67</v>
      </c>
      <c r="I11" s="3" t="s">
        <v>68</v>
      </c>
    </row>
    <row r="12" spans="1:9" ht="30" customHeight="1" x14ac:dyDescent="0.25">
      <c r="A12" s="6" t="s">
        <v>58</v>
      </c>
      <c r="B12" s="3" t="s">
        <v>69</v>
      </c>
      <c r="C12" s="3" t="s">
        <v>70</v>
      </c>
      <c r="D12" s="17">
        <v>15</v>
      </c>
      <c r="E12" s="3" t="s">
        <v>19</v>
      </c>
      <c r="F12" s="3" t="s">
        <v>71</v>
      </c>
      <c r="G12" s="3" t="s">
        <v>54</v>
      </c>
      <c r="H12" s="3" t="s">
        <v>72</v>
      </c>
      <c r="I12" s="3" t="s">
        <v>73</v>
      </c>
    </row>
    <row r="13" spans="1:9" ht="31.5" customHeight="1" x14ac:dyDescent="0.25">
      <c r="A13" s="6" t="s">
        <v>58</v>
      </c>
      <c r="B13" s="3" t="s">
        <v>74</v>
      </c>
      <c r="C13" s="3" t="s">
        <v>75</v>
      </c>
      <c r="D13" s="17">
        <v>40</v>
      </c>
      <c r="E13" s="3" t="s">
        <v>19</v>
      </c>
      <c r="F13" s="3" t="s">
        <v>76</v>
      </c>
      <c r="G13" s="3" t="s">
        <v>54</v>
      </c>
      <c r="H13" s="3" t="s">
        <v>77</v>
      </c>
      <c r="I13" s="3" t="s">
        <v>78</v>
      </c>
    </row>
    <row r="14" spans="1:9" ht="30" customHeight="1" x14ac:dyDescent="0.25">
      <c r="A14" s="7" t="s">
        <v>79</v>
      </c>
      <c r="B14" s="3" t="s">
        <v>80</v>
      </c>
      <c r="C14" s="3" t="s">
        <v>81</v>
      </c>
      <c r="D14" s="17">
        <v>0.34</v>
      </c>
      <c r="E14" s="3" t="s">
        <v>19</v>
      </c>
      <c r="F14" s="3" t="s">
        <v>82</v>
      </c>
      <c r="G14" s="3" t="s">
        <v>54</v>
      </c>
      <c r="H14" s="3" t="s">
        <v>83</v>
      </c>
      <c r="I14" s="3" t="s">
        <v>84</v>
      </c>
    </row>
    <row r="15" spans="1:9" ht="30" customHeight="1" x14ac:dyDescent="0.25">
      <c r="A15" s="7" t="s">
        <v>79</v>
      </c>
      <c r="B15" s="3" t="s">
        <v>85</v>
      </c>
      <c r="C15" s="3" t="s">
        <v>86</v>
      </c>
      <c r="D15" s="17">
        <v>0.5</v>
      </c>
      <c r="E15" s="3" t="s">
        <v>19</v>
      </c>
      <c r="F15" s="3" t="s">
        <v>82</v>
      </c>
      <c r="G15" s="3" t="s">
        <v>54</v>
      </c>
      <c r="H15" s="3" t="s">
        <v>87</v>
      </c>
      <c r="I15" s="3" t="s">
        <v>84</v>
      </c>
    </row>
    <row r="19" spans="1:2" x14ac:dyDescent="0.25">
      <c r="A19" s="16"/>
      <c r="B19" t="s">
        <v>435</v>
      </c>
    </row>
    <row r="20" spans="1:2" x14ac:dyDescent="0.25">
      <c r="A20" s="17"/>
      <c r="B20" t="s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="130" zoomScaleNormal="13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style="23" customWidth="1"/>
    <col min="2" max="2" width="30.140625" style="23" customWidth="1"/>
    <col min="3" max="3" width="33.140625" style="23" customWidth="1"/>
    <col min="4" max="4" width="12" style="23" customWidth="1"/>
    <col min="5" max="5" width="10" style="23" customWidth="1"/>
    <col min="6" max="6" width="22" style="23" customWidth="1"/>
    <col min="7" max="7" width="45" style="23" customWidth="1"/>
    <col min="8" max="8" width="43.7109375" style="23" customWidth="1"/>
  </cols>
  <sheetData>
    <row r="1" spans="1:8" ht="30" customHeight="1" x14ac:dyDescent="0.25">
      <c r="A1" s="8" t="s">
        <v>0</v>
      </c>
      <c r="B1" s="8" t="s">
        <v>88</v>
      </c>
      <c r="C1" s="8" t="s">
        <v>89</v>
      </c>
      <c r="D1" s="8" t="s">
        <v>90</v>
      </c>
      <c r="E1" s="8" t="s">
        <v>4</v>
      </c>
      <c r="F1" s="8" t="s">
        <v>91</v>
      </c>
      <c r="G1" s="8" t="s">
        <v>7</v>
      </c>
      <c r="H1" s="8" t="s">
        <v>92</v>
      </c>
    </row>
    <row r="2" spans="1:8" ht="30" customHeight="1" x14ac:dyDescent="0.25">
      <c r="A2" s="9" t="s">
        <v>93</v>
      </c>
      <c r="B2" s="3" t="s">
        <v>94</v>
      </c>
      <c r="C2" s="3" t="s">
        <v>95</v>
      </c>
      <c r="D2" s="15">
        <v>5000000</v>
      </c>
      <c r="E2" s="3" t="s">
        <v>96</v>
      </c>
      <c r="F2" s="3" t="s">
        <v>97</v>
      </c>
      <c r="G2" s="3" t="s">
        <v>98</v>
      </c>
      <c r="H2" s="3" t="s">
        <v>99</v>
      </c>
    </row>
    <row r="3" spans="1:8" ht="30.75" customHeight="1" x14ac:dyDescent="0.25">
      <c r="A3" s="9" t="s">
        <v>93</v>
      </c>
      <c r="B3" s="3" t="s">
        <v>100</v>
      </c>
      <c r="C3" s="3" t="s">
        <v>101</v>
      </c>
      <c r="D3" s="15">
        <v>1E-3</v>
      </c>
      <c r="E3" s="3" t="s">
        <v>96</v>
      </c>
      <c r="F3" s="3" t="s">
        <v>102</v>
      </c>
      <c r="G3" s="3" t="s">
        <v>103</v>
      </c>
      <c r="H3" s="3" t="s">
        <v>104</v>
      </c>
    </row>
    <row r="4" spans="1:8" ht="30" customHeight="1" x14ac:dyDescent="0.25">
      <c r="A4" s="9" t="s">
        <v>105</v>
      </c>
      <c r="B4" s="3" t="s">
        <v>106</v>
      </c>
      <c r="C4" s="3" t="s">
        <v>107</v>
      </c>
      <c r="D4" s="15">
        <v>9.9999999999999995E-7</v>
      </c>
      <c r="E4" s="3" t="s">
        <v>96</v>
      </c>
      <c r="F4" s="3" t="s">
        <v>108</v>
      </c>
      <c r="G4" s="3" t="s">
        <v>109</v>
      </c>
      <c r="H4" s="3" t="s">
        <v>110</v>
      </c>
    </row>
    <row r="5" spans="1:8" ht="30" customHeight="1" x14ac:dyDescent="0.25">
      <c r="A5" s="10" t="s">
        <v>111</v>
      </c>
      <c r="B5" s="3" t="s">
        <v>112</v>
      </c>
      <c r="C5" s="3" t="s">
        <v>113</v>
      </c>
      <c r="D5" s="3">
        <v>3</v>
      </c>
      <c r="E5" s="3" t="s">
        <v>114</v>
      </c>
      <c r="F5" s="3" t="s">
        <v>55</v>
      </c>
      <c r="G5" s="3" t="s">
        <v>115</v>
      </c>
      <c r="H5" s="3" t="s">
        <v>116</v>
      </c>
    </row>
    <row r="6" spans="1:8" ht="30.75" customHeight="1" x14ac:dyDescent="0.25">
      <c r="A6" s="10" t="s">
        <v>111</v>
      </c>
      <c r="B6" s="3" t="s">
        <v>117</v>
      </c>
      <c r="C6" s="3" t="s">
        <v>118</v>
      </c>
      <c r="D6" s="15">
        <v>2.0000000000000002E-5</v>
      </c>
      <c r="E6" s="3" t="s">
        <v>119</v>
      </c>
      <c r="F6" s="3" t="s">
        <v>120</v>
      </c>
      <c r="G6" s="3" t="s">
        <v>121</v>
      </c>
      <c r="H6" s="3" t="s">
        <v>122</v>
      </c>
    </row>
    <row r="7" spans="1:8" x14ac:dyDescent="0.25">
      <c r="A7" s="10" t="s">
        <v>111</v>
      </c>
      <c r="B7" s="3" t="s">
        <v>123</v>
      </c>
      <c r="C7" s="3" t="s">
        <v>124</v>
      </c>
      <c r="D7" s="3">
        <v>1.2</v>
      </c>
      <c r="E7" s="3" t="s">
        <v>19</v>
      </c>
      <c r="F7" s="3" t="s">
        <v>125</v>
      </c>
      <c r="G7" s="3" t="s">
        <v>126</v>
      </c>
      <c r="H7" s="3" t="s">
        <v>127</v>
      </c>
    </row>
    <row r="8" spans="1:8" ht="30.75" customHeight="1" x14ac:dyDescent="0.25">
      <c r="A8" s="5" t="s">
        <v>128</v>
      </c>
      <c r="B8" s="3" t="s">
        <v>129</v>
      </c>
      <c r="C8" s="3" t="s">
        <v>130</v>
      </c>
      <c r="D8" s="3">
        <v>0.15</v>
      </c>
      <c r="E8" s="3" t="s">
        <v>54</v>
      </c>
      <c r="F8" s="3" t="s">
        <v>131</v>
      </c>
      <c r="G8" s="3" t="s">
        <v>132</v>
      </c>
      <c r="H8" s="3" t="s">
        <v>133</v>
      </c>
    </row>
    <row r="9" spans="1:8" ht="30.75" customHeight="1" x14ac:dyDescent="0.25">
      <c r="A9" s="5" t="s">
        <v>128</v>
      </c>
      <c r="B9" s="3" t="s">
        <v>134</v>
      </c>
      <c r="C9" s="3" t="s">
        <v>135</v>
      </c>
      <c r="D9" s="3">
        <v>2</v>
      </c>
      <c r="E9" s="3" t="s">
        <v>54</v>
      </c>
      <c r="F9" s="3" t="s">
        <v>136</v>
      </c>
      <c r="G9" s="3" t="s">
        <v>137</v>
      </c>
      <c r="H9" s="3" t="s">
        <v>138</v>
      </c>
    </row>
    <row r="10" spans="1:8" ht="31.5" customHeight="1" x14ac:dyDescent="0.25">
      <c r="A10" s="6" t="s">
        <v>139</v>
      </c>
      <c r="B10" s="3" t="s">
        <v>140</v>
      </c>
      <c r="C10" s="3" t="s">
        <v>141</v>
      </c>
      <c r="D10" s="3">
        <v>0.1</v>
      </c>
      <c r="E10" s="3" t="s">
        <v>54</v>
      </c>
      <c r="F10" s="3" t="s">
        <v>142</v>
      </c>
      <c r="G10" s="3" t="s">
        <v>143</v>
      </c>
      <c r="H10" s="3" t="s">
        <v>144</v>
      </c>
    </row>
    <row r="11" spans="1:8" x14ac:dyDescent="0.25">
      <c r="A11" s="6" t="s">
        <v>139</v>
      </c>
      <c r="B11" s="3" t="s">
        <v>145</v>
      </c>
      <c r="C11" s="3" t="s">
        <v>146</v>
      </c>
      <c r="D11" s="3">
        <v>0.05</v>
      </c>
      <c r="E11" s="3" t="s">
        <v>54</v>
      </c>
      <c r="F11" s="3" t="s">
        <v>147</v>
      </c>
      <c r="G11" s="3" t="s">
        <v>148</v>
      </c>
      <c r="H11" s="3" t="s">
        <v>149</v>
      </c>
    </row>
    <row r="12" spans="1:8" x14ac:dyDescent="0.25">
      <c r="A12" s="6" t="s">
        <v>139</v>
      </c>
      <c r="B12" s="3" t="s">
        <v>150</v>
      </c>
      <c r="C12" s="3" t="s">
        <v>151</v>
      </c>
      <c r="D12" s="3">
        <v>0.01</v>
      </c>
      <c r="E12" s="3" t="s">
        <v>54</v>
      </c>
      <c r="F12" s="3" t="s">
        <v>152</v>
      </c>
      <c r="G12" s="3" t="s">
        <v>153</v>
      </c>
      <c r="H12" s="3" t="s">
        <v>154</v>
      </c>
    </row>
    <row r="13" spans="1:8" x14ac:dyDescent="0.25">
      <c r="A13" s="7" t="s">
        <v>155</v>
      </c>
      <c r="B13" s="3" t="s">
        <v>156</v>
      </c>
      <c r="C13" s="3" t="s">
        <v>157</v>
      </c>
      <c r="D13" s="3">
        <v>1.1000000000000001</v>
      </c>
      <c r="E13" s="3" t="s">
        <v>54</v>
      </c>
      <c r="F13" s="3" t="s">
        <v>158</v>
      </c>
      <c r="G13" s="3" t="s">
        <v>159</v>
      </c>
      <c r="H13" s="3" t="s">
        <v>160</v>
      </c>
    </row>
    <row r="14" spans="1:8" x14ac:dyDescent="0.25">
      <c r="A14" s="7" t="s">
        <v>155</v>
      </c>
      <c r="B14" s="3" t="s">
        <v>161</v>
      </c>
      <c r="C14" s="3" t="s">
        <v>162</v>
      </c>
      <c r="D14" s="3">
        <v>1.3</v>
      </c>
      <c r="E14" s="3" t="s">
        <v>54</v>
      </c>
      <c r="F14" s="3" t="s">
        <v>163</v>
      </c>
      <c r="G14" s="3" t="s">
        <v>164</v>
      </c>
      <c r="H14" s="3" t="s">
        <v>165</v>
      </c>
    </row>
    <row r="15" spans="1:8" x14ac:dyDescent="0.25">
      <c r="A15" s="7" t="s">
        <v>155</v>
      </c>
      <c r="B15" s="3" t="s">
        <v>166</v>
      </c>
      <c r="C15" s="3" t="s">
        <v>167</v>
      </c>
      <c r="D15" s="3">
        <v>1.7</v>
      </c>
      <c r="E15" s="3" t="s">
        <v>54</v>
      </c>
      <c r="F15" s="3" t="s">
        <v>168</v>
      </c>
      <c r="G15" s="3" t="s">
        <v>169</v>
      </c>
      <c r="H15" s="3" t="s">
        <v>170</v>
      </c>
    </row>
    <row r="16" spans="1:8" x14ac:dyDescent="0.25">
      <c r="A16" s="7" t="s">
        <v>155</v>
      </c>
      <c r="B16" s="3" t="s">
        <v>171</v>
      </c>
      <c r="C16" s="3" t="s">
        <v>172</v>
      </c>
      <c r="D16" s="3">
        <v>2.5</v>
      </c>
      <c r="E16" s="3" t="s">
        <v>54</v>
      </c>
      <c r="F16" s="3" t="s">
        <v>173</v>
      </c>
      <c r="G16" s="3" t="s">
        <v>174</v>
      </c>
      <c r="H16" s="3" t="s">
        <v>175</v>
      </c>
    </row>
    <row r="19" spans="2:2" ht="45" customHeight="1" x14ac:dyDescent="0.25">
      <c r="B19" s="18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5" style="23" customWidth="1"/>
    <col min="2" max="2" width="45" style="23" customWidth="1"/>
    <col min="3" max="3" width="50" style="23" customWidth="1"/>
  </cols>
  <sheetData>
    <row r="1" spans="1:3" x14ac:dyDescent="0.25">
      <c r="A1" s="11" t="s">
        <v>177</v>
      </c>
      <c r="B1" s="11" t="s">
        <v>178</v>
      </c>
      <c r="C1" s="11" t="s">
        <v>179</v>
      </c>
    </row>
    <row r="2" spans="1:3" x14ac:dyDescent="0.25">
      <c r="A2" s="3"/>
      <c r="B2" s="3"/>
      <c r="C2" s="3"/>
    </row>
    <row r="3" spans="1:3" x14ac:dyDescent="0.25">
      <c r="A3" s="12" t="s">
        <v>180</v>
      </c>
      <c r="B3" s="3" t="s">
        <v>181</v>
      </c>
      <c r="C3" s="3" t="s">
        <v>182</v>
      </c>
    </row>
    <row r="4" spans="1:3" x14ac:dyDescent="0.25">
      <c r="A4" s="3"/>
      <c r="B4" s="3" t="s">
        <v>183</v>
      </c>
      <c r="C4" s="3" t="s">
        <v>184</v>
      </c>
    </row>
    <row r="5" spans="1:3" x14ac:dyDescent="0.25">
      <c r="A5" s="3"/>
      <c r="B5" s="3" t="s">
        <v>185</v>
      </c>
      <c r="C5" s="3" t="s">
        <v>186</v>
      </c>
    </row>
    <row r="6" spans="1:3" x14ac:dyDescent="0.25">
      <c r="A6" s="3"/>
      <c r="B6" s="3"/>
      <c r="C6" s="3"/>
    </row>
    <row r="7" spans="1:3" x14ac:dyDescent="0.25">
      <c r="A7" s="12" t="s">
        <v>187</v>
      </c>
      <c r="B7" s="3" t="s">
        <v>188</v>
      </c>
      <c r="C7" s="3" t="s">
        <v>189</v>
      </c>
    </row>
    <row r="8" spans="1:3" x14ac:dyDescent="0.25">
      <c r="A8" s="3"/>
      <c r="B8" s="3" t="s">
        <v>190</v>
      </c>
      <c r="C8" s="3" t="s">
        <v>191</v>
      </c>
    </row>
    <row r="9" spans="1:3" x14ac:dyDescent="0.25">
      <c r="A9" s="3"/>
      <c r="B9" s="3" t="s">
        <v>192</v>
      </c>
      <c r="C9" s="3" t="s">
        <v>193</v>
      </c>
    </row>
    <row r="10" spans="1:3" x14ac:dyDescent="0.25">
      <c r="A10" s="3"/>
      <c r="B10" s="3"/>
      <c r="C10" s="3"/>
    </row>
    <row r="11" spans="1:3" ht="30" customHeight="1" x14ac:dyDescent="0.25">
      <c r="A11" s="12" t="s">
        <v>194</v>
      </c>
      <c r="B11" s="3" t="s">
        <v>195</v>
      </c>
      <c r="C11" s="3" t="s">
        <v>196</v>
      </c>
    </row>
    <row r="12" spans="1:3" x14ac:dyDescent="0.25">
      <c r="A12" s="3"/>
      <c r="B12" s="3" t="s">
        <v>197</v>
      </c>
      <c r="C12" s="3" t="s">
        <v>198</v>
      </c>
    </row>
    <row r="13" spans="1:3" x14ac:dyDescent="0.25">
      <c r="A13" s="3"/>
      <c r="B13" s="3" t="s">
        <v>199</v>
      </c>
      <c r="C13" s="3" t="s">
        <v>200</v>
      </c>
    </row>
    <row r="14" spans="1:3" x14ac:dyDescent="0.25">
      <c r="A14" s="3"/>
      <c r="B14" s="3" t="s">
        <v>201</v>
      </c>
      <c r="C14" s="3" t="s">
        <v>202</v>
      </c>
    </row>
    <row r="15" spans="1:3" x14ac:dyDescent="0.25">
      <c r="A15" s="3"/>
      <c r="B15" s="3"/>
      <c r="C15" s="3"/>
    </row>
    <row r="16" spans="1:3" x14ac:dyDescent="0.25">
      <c r="A16" s="12" t="s">
        <v>203</v>
      </c>
      <c r="B16" s="3" t="s">
        <v>204</v>
      </c>
      <c r="C16" s="3" t="s">
        <v>205</v>
      </c>
    </row>
    <row r="17" spans="1:3" x14ac:dyDescent="0.25">
      <c r="A17" s="3"/>
      <c r="B17" s="3" t="s">
        <v>206</v>
      </c>
      <c r="C17" s="3" t="s">
        <v>207</v>
      </c>
    </row>
    <row r="18" spans="1:3" x14ac:dyDescent="0.25">
      <c r="A18" s="3"/>
      <c r="B18" s="3" t="s">
        <v>208</v>
      </c>
      <c r="C18" s="3" t="s">
        <v>209</v>
      </c>
    </row>
    <row r="19" spans="1:3" x14ac:dyDescent="0.25">
      <c r="A19" s="3"/>
      <c r="B19" s="3" t="s">
        <v>210</v>
      </c>
      <c r="C19" s="3" t="s">
        <v>117</v>
      </c>
    </row>
    <row r="20" spans="1:3" x14ac:dyDescent="0.25">
      <c r="A20" s="3"/>
      <c r="B20" s="3" t="s">
        <v>211</v>
      </c>
      <c r="C20" s="3" t="s">
        <v>112</v>
      </c>
    </row>
    <row r="21" spans="1:3" x14ac:dyDescent="0.25">
      <c r="A21" s="3"/>
      <c r="B21" s="3"/>
      <c r="C21" s="3"/>
    </row>
    <row r="22" spans="1:3" x14ac:dyDescent="0.25">
      <c r="A22" s="12" t="s">
        <v>212</v>
      </c>
      <c r="B22" s="3" t="s">
        <v>213</v>
      </c>
      <c r="C22" s="3" t="s">
        <v>214</v>
      </c>
    </row>
    <row r="23" spans="1:3" x14ac:dyDescent="0.25">
      <c r="A23" s="3"/>
      <c r="B23" s="3" t="s">
        <v>215</v>
      </c>
      <c r="C23" s="3" t="s">
        <v>216</v>
      </c>
    </row>
    <row r="24" spans="1:3" x14ac:dyDescent="0.25">
      <c r="A24" s="3"/>
      <c r="B24" s="3" t="s">
        <v>217</v>
      </c>
      <c r="C24" s="3" t="s">
        <v>218</v>
      </c>
    </row>
    <row r="25" spans="1:3" x14ac:dyDescent="0.25">
      <c r="A25" s="3"/>
      <c r="B25" s="3" t="s">
        <v>219</v>
      </c>
      <c r="C25" s="3" t="s">
        <v>220</v>
      </c>
    </row>
    <row r="26" spans="1:3" x14ac:dyDescent="0.25">
      <c r="A26" s="3"/>
      <c r="B26" s="3" t="s">
        <v>221</v>
      </c>
      <c r="C26" s="3" t="s">
        <v>222</v>
      </c>
    </row>
    <row r="27" spans="1:3" x14ac:dyDescent="0.25">
      <c r="A27" s="3"/>
      <c r="B27" s="3"/>
      <c r="C27" s="3"/>
    </row>
    <row r="28" spans="1:3" x14ac:dyDescent="0.25">
      <c r="A28" s="12" t="s">
        <v>223</v>
      </c>
      <c r="B28" s="3" t="s">
        <v>224</v>
      </c>
      <c r="C28" s="3" t="s">
        <v>225</v>
      </c>
    </row>
    <row r="29" spans="1:3" x14ac:dyDescent="0.25">
      <c r="A29" s="3"/>
      <c r="B29" s="3" t="s">
        <v>226</v>
      </c>
      <c r="C29" s="3" t="s">
        <v>227</v>
      </c>
    </row>
    <row r="30" spans="1:3" x14ac:dyDescent="0.25">
      <c r="A30" s="3"/>
      <c r="B30" s="3" t="s">
        <v>228</v>
      </c>
      <c r="C30" s="3" t="s">
        <v>134</v>
      </c>
    </row>
    <row r="31" spans="1:3" x14ac:dyDescent="0.25">
      <c r="A31" s="3"/>
      <c r="B31" s="3" t="s">
        <v>229</v>
      </c>
      <c r="C31" s="3"/>
    </row>
    <row r="32" spans="1:3" x14ac:dyDescent="0.25">
      <c r="A32" s="3"/>
      <c r="B32" s="3"/>
      <c r="C32" s="3"/>
    </row>
    <row r="33" spans="1:3" x14ac:dyDescent="0.25">
      <c r="A33" s="12" t="s">
        <v>230</v>
      </c>
      <c r="B33" s="3" t="s">
        <v>231</v>
      </c>
      <c r="C33" s="3" t="s">
        <v>232</v>
      </c>
    </row>
    <row r="34" spans="1:3" x14ac:dyDescent="0.25">
      <c r="A34" s="3"/>
      <c r="B34" s="3" t="s">
        <v>233</v>
      </c>
      <c r="C34" s="3" t="s">
        <v>234</v>
      </c>
    </row>
    <row r="35" spans="1:3" x14ac:dyDescent="0.25">
      <c r="A35" s="3"/>
      <c r="B35" s="3" t="s">
        <v>235</v>
      </c>
      <c r="C35" s="3" t="s">
        <v>236</v>
      </c>
    </row>
    <row r="36" spans="1:3" x14ac:dyDescent="0.25">
      <c r="A36" s="3"/>
      <c r="B36" s="3" t="s">
        <v>237</v>
      </c>
      <c r="C36" s="3" t="s">
        <v>238</v>
      </c>
    </row>
    <row r="37" spans="1:3" x14ac:dyDescent="0.25">
      <c r="A37" s="3"/>
      <c r="B37" s="3"/>
      <c r="C37" s="3"/>
    </row>
    <row r="38" spans="1:3" x14ac:dyDescent="0.25">
      <c r="A38" s="12" t="s">
        <v>239</v>
      </c>
      <c r="B38" s="3" t="s">
        <v>240</v>
      </c>
      <c r="C38" s="3" t="s">
        <v>241</v>
      </c>
    </row>
    <row r="39" spans="1:3" x14ac:dyDescent="0.25">
      <c r="A39" s="3"/>
      <c r="B39" s="3" t="s">
        <v>242</v>
      </c>
      <c r="C39" s="3" t="s">
        <v>243</v>
      </c>
    </row>
  </sheetData>
  <pageMargins left="0.75" right="0.75" top="1" bottom="1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="145" zoomScaleNormal="145" workbookViewId="0">
      <selection activeCell="C41" sqref="C41"/>
    </sheetView>
  </sheetViews>
  <sheetFormatPr defaultRowHeight="15" x14ac:dyDescent="0.25"/>
  <cols>
    <col min="1" max="1" width="30" style="23" customWidth="1"/>
    <col min="2" max="3" width="50" style="23" customWidth="1"/>
  </cols>
  <sheetData>
    <row r="1" spans="1:3" x14ac:dyDescent="0.25">
      <c r="A1" s="11" t="s">
        <v>244</v>
      </c>
      <c r="B1" s="11" t="s">
        <v>245</v>
      </c>
      <c r="C1" s="11" t="s">
        <v>246</v>
      </c>
    </row>
    <row r="2" spans="1:3" x14ac:dyDescent="0.25">
      <c r="A2" s="3"/>
      <c r="B2" s="3"/>
      <c r="C2" s="3"/>
    </row>
    <row r="3" spans="1:3" x14ac:dyDescent="0.25">
      <c r="A3" s="13" t="s">
        <v>247</v>
      </c>
      <c r="B3" s="3" t="s">
        <v>248</v>
      </c>
      <c r="C3" s="3" t="s">
        <v>249</v>
      </c>
    </row>
    <row r="4" spans="1:3" x14ac:dyDescent="0.25">
      <c r="A4" s="3"/>
      <c r="B4" s="3" t="s">
        <v>250</v>
      </c>
      <c r="C4" s="3" t="s">
        <v>251</v>
      </c>
    </row>
    <row r="5" spans="1:3" x14ac:dyDescent="0.25">
      <c r="A5" s="3"/>
      <c r="B5" s="3"/>
      <c r="C5" s="3"/>
    </row>
    <row r="6" spans="1:3" ht="30" customHeight="1" x14ac:dyDescent="0.25">
      <c r="A6" s="13" t="s">
        <v>252</v>
      </c>
      <c r="B6" s="3"/>
      <c r="C6" s="3"/>
    </row>
    <row r="7" spans="1:3" x14ac:dyDescent="0.25">
      <c r="A7" s="3"/>
      <c r="B7" s="3" t="s">
        <v>253</v>
      </c>
      <c r="C7" s="3" t="s">
        <v>254</v>
      </c>
    </row>
    <row r="8" spans="1:3" x14ac:dyDescent="0.25">
      <c r="A8" s="3"/>
      <c r="B8" s="3" t="s">
        <v>255</v>
      </c>
      <c r="C8" s="3" t="s">
        <v>256</v>
      </c>
    </row>
    <row r="9" spans="1:3" x14ac:dyDescent="0.25">
      <c r="A9" s="3"/>
      <c r="B9" s="3" t="s">
        <v>257</v>
      </c>
      <c r="C9" s="3" t="s">
        <v>258</v>
      </c>
    </row>
    <row r="10" spans="1:3" x14ac:dyDescent="0.25">
      <c r="A10" s="3"/>
      <c r="B10" s="3" t="s">
        <v>259</v>
      </c>
      <c r="C10" s="3" t="s">
        <v>260</v>
      </c>
    </row>
    <row r="11" spans="1:3" x14ac:dyDescent="0.25">
      <c r="A11" s="3"/>
      <c r="B11" s="3" t="s">
        <v>261</v>
      </c>
      <c r="C11" s="3"/>
    </row>
    <row r="12" spans="1:3" x14ac:dyDescent="0.25">
      <c r="A12" s="3"/>
      <c r="B12" s="3"/>
      <c r="C12" s="3"/>
    </row>
    <row r="13" spans="1:3" x14ac:dyDescent="0.25">
      <c r="A13" s="13" t="s">
        <v>262</v>
      </c>
      <c r="B13" s="3"/>
      <c r="C13" s="3"/>
    </row>
    <row r="14" spans="1:3" x14ac:dyDescent="0.25">
      <c r="A14" s="3"/>
      <c r="B14" s="3" t="s">
        <v>263</v>
      </c>
      <c r="C14" s="3" t="s">
        <v>264</v>
      </c>
    </row>
    <row r="15" spans="1:3" x14ac:dyDescent="0.25">
      <c r="A15" s="3"/>
      <c r="B15" s="3" t="s">
        <v>265</v>
      </c>
      <c r="C15" s="3" t="s">
        <v>266</v>
      </c>
    </row>
    <row r="16" spans="1:3" x14ac:dyDescent="0.25">
      <c r="A16" s="3"/>
      <c r="B16" s="3" t="s">
        <v>267</v>
      </c>
      <c r="C16" s="3"/>
    </row>
    <row r="17" spans="1:3" x14ac:dyDescent="0.25">
      <c r="A17" s="3"/>
      <c r="B17" s="3"/>
      <c r="C17" s="3"/>
    </row>
    <row r="18" spans="1:3" x14ac:dyDescent="0.25">
      <c r="A18" s="13" t="s">
        <v>268</v>
      </c>
      <c r="B18" s="3"/>
      <c r="C18" s="3"/>
    </row>
    <row r="19" spans="1:3" x14ac:dyDescent="0.25">
      <c r="A19" s="3"/>
      <c r="B19" s="3" t="s">
        <v>269</v>
      </c>
      <c r="C19" s="3" t="s">
        <v>270</v>
      </c>
    </row>
    <row r="20" spans="1:3" x14ac:dyDescent="0.25">
      <c r="A20" s="3"/>
      <c r="B20" s="3" t="s">
        <v>271</v>
      </c>
      <c r="C20" s="3" t="s">
        <v>272</v>
      </c>
    </row>
    <row r="21" spans="1:3" x14ac:dyDescent="0.25">
      <c r="A21" s="3"/>
      <c r="B21" s="3" t="s">
        <v>273</v>
      </c>
      <c r="C21" s="3" t="s">
        <v>274</v>
      </c>
    </row>
    <row r="22" spans="1:3" x14ac:dyDescent="0.25">
      <c r="A22" s="3"/>
      <c r="B22" s="3" t="s">
        <v>275</v>
      </c>
      <c r="C22" s="3" t="s">
        <v>276</v>
      </c>
    </row>
    <row r="23" spans="1:3" x14ac:dyDescent="0.25">
      <c r="A23" s="3"/>
      <c r="B23" s="3" t="s">
        <v>277</v>
      </c>
      <c r="C23" s="3"/>
    </row>
    <row r="24" spans="1:3" x14ac:dyDescent="0.25">
      <c r="A24" s="3"/>
      <c r="B24" s="3"/>
      <c r="C24" s="3"/>
    </row>
    <row r="25" spans="1:3" ht="30" customHeight="1" x14ac:dyDescent="0.25">
      <c r="A25" s="13" t="s">
        <v>278</v>
      </c>
      <c r="B25" s="3"/>
      <c r="C25" s="3"/>
    </row>
    <row r="26" spans="1:3" x14ac:dyDescent="0.25">
      <c r="A26" s="3"/>
      <c r="B26" s="3" t="s">
        <v>279</v>
      </c>
      <c r="C26" s="3" t="s">
        <v>280</v>
      </c>
    </row>
    <row r="27" spans="1:3" x14ac:dyDescent="0.25">
      <c r="A27" s="3"/>
      <c r="B27" s="3" t="s">
        <v>281</v>
      </c>
      <c r="C27" s="3" t="s">
        <v>282</v>
      </c>
    </row>
    <row r="28" spans="1:3" x14ac:dyDescent="0.25">
      <c r="A28" s="3"/>
      <c r="B28" s="3" t="s">
        <v>283</v>
      </c>
      <c r="C28" s="3" t="s">
        <v>284</v>
      </c>
    </row>
    <row r="29" spans="1:3" x14ac:dyDescent="0.25">
      <c r="A29" s="3"/>
      <c r="B29" s="3" t="s">
        <v>285</v>
      </c>
      <c r="C29" s="3" t="s">
        <v>286</v>
      </c>
    </row>
    <row r="30" spans="1:3" x14ac:dyDescent="0.25">
      <c r="A30" s="3"/>
      <c r="B30" s="3"/>
      <c r="C30" s="3"/>
    </row>
    <row r="31" spans="1:3" x14ac:dyDescent="0.25">
      <c r="A31" s="13" t="s">
        <v>287</v>
      </c>
      <c r="B31" s="3"/>
      <c r="C31" s="3"/>
    </row>
    <row r="32" spans="1:3" x14ac:dyDescent="0.25">
      <c r="A32" s="3"/>
      <c r="B32" s="3" t="s">
        <v>288</v>
      </c>
      <c r="C32" s="3" t="s">
        <v>289</v>
      </c>
    </row>
    <row r="33" spans="1:3" x14ac:dyDescent="0.25">
      <c r="A33" s="3"/>
      <c r="B33" s="3" t="s">
        <v>290</v>
      </c>
      <c r="C33" s="3" t="s">
        <v>291</v>
      </c>
    </row>
    <row r="34" spans="1:3" x14ac:dyDescent="0.25">
      <c r="A34" s="3"/>
      <c r="B34" s="3" t="s">
        <v>292</v>
      </c>
      <c r="C34" s="3" t="s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zoomScale="115" zoomScaleNormal="115" workbookViewId="0">
      <pane ySplit="1" topLeftCell="A2" activePane="bottomLeft" state="frozen"/>
      <selection pane="bottomLeft" activeCell="H32" sqref="H32"/>
    </sheetView>
  </sheetViews>
  <sheetFormatPr defaultRowHeight="15" x14ac:dyDescent="0.25"/>
  <cols>
    <col min="1" max="1" width="12.5703125" style="32" customWidth="1"/>
    <col min="2" max="2" width="15" style="32" customWidth="1"/>
    <col min="3" max="3" width="15.7109375" style="25" customWidth="1"/>
    <col min="4" max="4" width="15" style="32" customWidth="1"/>
    <col min="5" max="5" width="15" style="25" customWidth="1"/>
    <col min="6" max="6" width="15" style="32" customWidth="1"/>
    <col min="7" max="7" width="15" style="23" hidden="1" customWidth="1"/>
    <col min="8" max="8" width="15" style="25" customWidth="1"/>
    <col min="9" max="9" width="15" style="23" customWidth="1"/>
    <col min="10" max="10" width="15" style="32" customWidth="1"/>
    <col min="11" max="11" width="39.28515625" style="25" bestFit="1" customWidth="1"/>
    <col min="12" max="12" width="41.28515625" style="14" customWidth="1"/>
    <col min="13" max="13" width="9" style="14" customWidth="1"/>
    <col min="14" max="14" width="11.28515625" style="14" customWidth="1"/>
    <col min="15" max="16" width="10.28515625" style="23" customWidth="1"/>
    <col min="17" max="17" width="10.140625" style="23" customWidth="1"/>
    <col min="18" max="18" width="9.85546875" style="23" customWidth="1"/>
  </cols>
  <sheetData>
    <row r="1" spans="1:16" ht="30" customHeight="1" x14ac:dyDescent="0.25">
      <c r="A1" s="61" t="s">
        <v>294</v>
      </c>
      <c r="B1" s="61" t="s">
        <v>295</v>
      </c>
      <c r="C1" s="62" t="s">
        <v>296</v>
      </c>
      <c r="D1" s="61" t="s">
        <v>297</v>
      </c>
      <c r="E1" s="63" t="s">
        <v>298</v>
      </c>
      <c r="F1" s="61" t="s">
        <v>299</v>
      </c>
      <c r="G1" s="63" t="s">
        <v>300</v>
      </c>
      <c r="H1" s="62" t="s">
        <v>301</v>
      </c>
      <c r="I1" s="22" t="s">
        <v>302</v>
      </c>
      <c r="J1" s="19" t="s">
        <v>303</v>
      </c>
      <c r="K1" s="20" t="s">
        <v>304</v>
      </c>
      <c r="L1" s="20" t="s">
        <v>305</v>
      </c>
      <c r="P1" s="14"/>
    </row>
    <row r="2" spans="1:16" x14ac:dyDescent="0.25">
      <c r="A2" s="104" t="s">
        <v>306</v>
      </c>
      <c r="B2" t="s">
        <v>307</v>
      </c>
      <c r="C2">
        <v>25</v>
      </c>
      <c r="D2" s="104">
        <v>14</v>
      </c>
      <c r="E2">
        <v>11</v>
      </c>
      <c r="F2" t="s">
        <v>308</v>
      </c>
      <c r="G2">
        <v>1536973223</v>
      </c>
      <c r="H2">
        <v>21.7</v>
      </c>
    </row>
    <row r="3" spans="1:16" x14ac:dyDescent="0.25">
      <c r="A3" s="104" t="s">
        <v>309</v>
      </c>
      <c r="B3" t="s">
        <v>310</v>
      </c>
      <c r="C3">
        <v>25</v>
      </c>
      <c r="D3" s="104">
        <v>14</v>
      </c>
      <c r="E3">
        <v>11</v>
      </c>
      <c r="F3" t="s">
        <v>311</v>
      </c>
      <c r="G3">
        <v>1538277700</v>
      </c>
      <c r="H3">
        <v>21.5</v>
      </c>
    </row>
    <row r="4" spans="1:16" x14ac:dyDescent="0.25">
      <c r="A4" s="104" t="s">
        <v>312</v>
      </c>
      <c r="B4" t="s">
        <v>313</v>
      </c>
      <c r="C4">
        <v>25</v>
      </c>
      <c r="D4" s="104">
        <v>14</v>
      </c>
      <c r="E4">
        <v>11</v>
      </c>
      <c r="F4" t="s">
        <v>314</v>
      </c>
      <c r="G4">
        <v>1539569156</v>
      </c>
      <c r="H4">
        <v>21.6</v>
      </c>
    </row>
    <row r="5" spans="1:16" x14ac:dyDescent="0.25">
      <c r="A5" s="104" t="s">
        <v>315</v>
      </c>
      <c r="B5" t="s">
        <v>316</v>
      </c>
      <c r="C5">
        <v>25</v>
      </c>
      <c r="D5" s="104">
        <v>14</v>
      </c>
      <c r="E5">
        <v>11</v>
      </c>
      <c r="F5" t="s">
        <v>308</v>
      </c>
      <c r="G5">
        <v>1540868934</v>
      </c>
      <c r="H5">
        <v>21.6</v>
      </c>
    </row>
    <row r="6" spans="1:16" x14ac:dyDescent="0.25">
      <c r="A6" s="104" t="s">
        <v>317</v>
      </c>
      <c r="B6" t="s">
        <v>318</v>
      </c>
      <c r="C6">
        <v>25</v>
      </c>
      <c r="D6" s="104">
        <v>14</v>
      </c>
      <c r="E6">
        <v>11</v>
      </c>
      <c r="F6" t="s">
        <v>319</v>
      </c>
      <c r="G6">
        <v>1542164918</v>
      </c>
      <c r="H6">
        <v>21.7</v>
      </c>
    </row>
    <row r="7" spans="1:16" x14ac:dyDescent="0.25">
      <c r="A7" s="104" t="s">
        <v>320</v>
      </c>
      <c r="B7" t="s">
        <v>321</v>
      </c>
      <c r="C7">
        <v>25</v>
      </c>
      <c r="D7" s="104">
        <v>14</v>
      </c>
      <c r="E7">
        <v>11</v>
      </c>
      <c r="F7" t="s">
        <v>322</v>
      </c>
      <c r="G7">
        <v>1543465087</v>
      </c>
      <c r="H7">
        <v>21.6</v>
      </c>
    </row>
    <row r="8" spans="1:16" x14ac:dyDescent="0.25">
      <c r="A8" s="104" t="s">
        <v>323</v>
      </c>
      <c r="B8" t="s">
        <v>324</v>
      </c>
      <c r="C8">
        <v>25</v>
      </c>
      <c r="D8" s="104">
        <v>14</v>
      </c>
      <c r="E8">
        <v>11</v>
      </c>
      <c r="F8" t="s">
        <v>325</v>
      </c>
      <c r="G8">
        <v>1544763269</v>
      </c>
      <c r="H8">
        <v>21.4</v>
      </c>
    </row>
    <row r="9" spans="1:16" x14ac:dyDescent="0.25">
      <c r="A9" s="104" t="s">
        <v>326</v>
      </c>
      <c r="B9" t="s">
        <v>327</v>
      </c>
      <c r="C9">
        <v>25</v>
      </c>
      <c r="D9" s="104">
        <v>14</v>
      </c>
      <c r="E9">
        <v>11</v>
      </c>
      <c r="F9" t="s">
        <v>311</v>
      </c>
      <c r="G9">
        <v>1546050927</v>
      </c>
      <c r="H9">
        <v>21.4</v>
      </c>
    </row>
    <row r="10" spans="1:16" ht="15" customHeight="1" x14ac:dyDescent="0.25">
      <c r="A10" s="104" t="s">
        <v>328</v>
      </c>
      <c r="B10" t="s">
        <v>329</v>
      </c>
      <c r="C10">
        <v>25</v>
      </c>
      <c r="D10" s="104">
        <v>14</v>
      </c>
      <c r="E10">
        <v>11</v>
      </c>
      <c r="F10" t="s">
        <v>330</v>
      </c>
      <c r="G10">
        <v>1547334458</v>
      </c>
      <c r="H10">
        <v>21.6</v>
      </c>
    </row>
    <row r="11" spans="1:16" ht="15" customHeight="1" x14ac:dyDescent="0.25">
      <c r="A11" s="104" t="s">
        <v>331</v>
      </c>
      <c r="B11" t="s">
        <v>332</v>
      </c>
      <c r="C11">
        <v>25</v>
      </c>
      <c r="D11" s="104">
        <v>14</v>
      </c>
      <c r="E11">
        <v>11</v>
      </c>
      <c r="F11" t="s">
        <v>308</v>
      </c>
      <c r="G11">
        <v>1548629780</v>
      </c>
      <c r="H11">
        <v>21.5</v>
      </c>
    </row>
    <row r="12" spans="1:16" ht="15" customHeight="1" x14ac:dyDescent="0.25">
      <c r="A12" s="105"/>
      <c r="D12" s="105"/>
    </row>
    <row r="13" spans="1:16" ht="15" customHeight="1" x14ac:dyDescent="0.25">
      <c r="A13" s="106" t="s">
        <v>333</v>
      </c>
      <c r="C13">
        <v>250</v>
      </c>
      <c r="D13" s="104">
        <v>140</v>
      </c>
      <c r="E13">
        <v>110</v>
      </c>
      <c r="F13" t="s">
        <v>334</v>
      </c>
      <c r="G13">
        <v>30</v>
      </c>
      <c r="H13">
        <v>215.7</v>
      </c>
    </row>
    <row r="14" spans="1:16" ht="15" customHeight="1" x14ac:dyDescent="0.25">
      <c r="A14" s="105"/>
      <c r="D14" s="105"/>
    </row>
    <row r="15" spans="1:16" ht="15" customHeight="1" x14ac:dyDescent="0.25">
      <c r="A15" s="105"/>
      <c r="D15" s="105"/>
    </row>
    <row r="16" spans="1:16" ht="15" customHeight="1" x14ac:dyDescent="0.25">
      <c r="A16" s="105"/>
      <c r="D16" s="105"/>
    </row>
    <row r="17" spans="1:4" ht="15" customHeight="1" x14ac:dyDescent="0.25">
      <c r="A17" s="105"/>
      <c r="D17" s="105"/>
    </row>
    <row r="18" spans="1:4" x14ac:dyDescent="0.25">
      <c r="A18" s="105"/>
      <c r="D18" s="105"/>
    </row>
    <row r="19" spans="1:4" x14ac:dyDescent="0.25">
      <c r="A19" s="105"/>
      <c r="D19" s="105"/>
    </row>
    <row r="20" spans="1:4" x14ac:dyDescent="0.25">
      <c r="A20" s="105"/>
      <c r="D20" s="105"/>
    </row>
    <row r="21" spans="1:4" x14ac:dyDescent="0.25">
      <c r="A21" s="105"/>
      <c r="D21" s="105"/>
    </row>
    <row r="22" spans="1:4" x14ac:dyDescent="0.25">
      <c r="A22" s="105"/>
      <c r="D22" s="105"/>
    </row>
    <row r="23" spans="1:4" x14ac:dyDescent="0.25">
      <c r="A23" s="105"/>
      <c r="D23" s="105"/>
    </row>
    <row r="24" spans="1:4" x14ac:dyDescent="0.25">
      <c r="A24" s="105"/>
      <c r="D24" s="105"/>
    </row>
    <row r="25" spans="1:4" x14ac:dyDescent="0.25">
      <c r="A25" s="105"/>
      <c r="D25" s="105"/>
    </row>
    <row r="26" spans="1:4" x14ac:dyDescent="0.25">
      <c r="A26" s="105"/>
      <c r="D26" s="105"/>
    </row>
    <row r="27" spans="1:4" x14ac:dyDescent="0.25">
      <c r="A27" s="105"/>
      <c r="D27" s="105"/>
    </row>
    <row r="28" spans="1:4" x14ac:dyDescent="0.25">
      <c r="A28" s="105"/>
      <c r="D28" s="105"/>
    </row>
    <row r="29" spans="1:4" x14ac:dyDescent="0.25">
      <c r="A29" s="105"/>
      <c r="D29" s="105"/>
    </row>
    <row r="30" spans="1:4" x14ac:dyDescent="0.25">
      <c r="A30" s="105"/>
      <c r="D30" s="105"/>
    </row>
    <row r="31" spans="1:4" x14ac:dyDescent="0.25">
      <c r="A31" s="105"/>
      <c r="D31" s="105"/>
    </row>
    <row r="32" spans="1:4" x14ac:dyDescent="0.25">
      <c r="A32" s="105"/>
      <c r="D32" s="105"/>
    </row>
    <row r="33" spans="1:4" x14ac:dyDescent="0.25">
      <c r="A33" s="105"/>
      <c r="D33" s="105"/>
    </row>
    <row r="34" spans="1:4" x14ac:dyDescent="0.25">
      <c r="A34" s="105"/>
      <c r="D34" s="105"/>
    </row>
    <row r="35" spans="1:4" x14ac:dyDescent="0.25">
      <c r="A35" s="105"/>
      <c r="D35" s="105"/>
    </row>
    <row r="36" spans="1:4" x14ac:dyDescent="0.25">
      <c r="A36" s="105"/>
      <c r="D36" s="105"/>
    </row>
    <row r="37" spans="1:4" x14ac:dyDescent="0.25">
      <c r="A37" s="105"/>
      <c r="D37" s="105"/>
    </row>
    <row r="38" spans="1:4" x14ac:dyDescent="0.25">
      <c r="A38" s="105"/>
      <c r="D38" s="105"/>
    </row>
    <row r="39" spans="1:4" x14ac:dyDescent="0.25">
      <c r="A39" s="105"/>
      <c r="D39" s="105"/>
    </row>
    <row r="40" spans="1:4" x14ac:dyDescent="0.25">
      <c r="A40" s="105"/>
      <c r="D40" s="105"/>
    </row>
    <row r="41" spans="1:4" x14ac:dyDescent="0.25">
      <c r="A41" s="105"/>
      <c r="D41" s="105"/>
    </row>
    <row r="42" spans="1:4" x14ac:dyDescent="0.25">
      <c r="A42" s="105"/>
      <c r="D42" s="105"/>
    </row>
    <row r="43" spans="1:4" x14ac:dyDescent="0.25">
      <c r="A43" s="105"/>
      <c r="D43" s="105"/>
    </row>
    <row r="44" spans="1:4" x14ac:dyDescent="0.25">
      <c r="A44" s="105"/>
      <c r="D44" s="105"/>
    </row>
    <row r="45" spans="1:4" x14ac:dyDescent="0.25">
      <c r="A45" s="105"/>
      <c r="D45" s="105"/>
    </row>
    <row r="46" spans="1:4" x14ac:dyDescent="0.25">
      <c r="A46" s="105"/>
      <c r="D46" s="105"/>
    </row>
    <row r="47" spans="1:4" x14ac:dyDescent="0.25">
      <c r="A47" s="105"/>
      <c r="D47" s="105"/>
    </row>
    <row r="48" spans="1:4" x14ac:dyDescent="0.25">
      <c r="A48" s="105"/>
      <c r="D48" s="105"/>
    </row>
    <row r="49" spans="1:4" x14ac:dyDescent="0.25">
      <c r="A49" s="105"/>
      <c r="D49" s="105"/>
    </row>
    <row r="50" spans="1:4" x14ac:dyDescent="0.25">
      <c r="A50" s="105"/>
      <c r="D50" s="105"/>
    </row>
    <row r="51" spans="1:4" x14ac:dyDescent="0.25">
      <c r="A51" s="105"/>
      <c r="D51" s="105"/>
    </row>
    <row r="52" spans="1:4" x14ac:dyDescent="0.25">
      <c r="A52" s="105"/>
      <c r="D52" s="105"/>
    </row>
    <row r="53" spans="1:4" x14ac:dyDescent="0.25">
      <c r="A53" s="105"/>
      <c r="D53" s="105"/>
    </row>
    <row r="54" spans="1:4" x14ac:dyDescent="0.25">
      <c r="A54" s="105"/>
      <c r="D54" s="105"/>
    </row>
    <row r="55" spans="1:4" x14ac:dyDescent="0.25">
      <c r="A55" s="105"/>
      <c r="D55" s="105"/>
    </row>
    <row r="56" spans="1:4" x14ac:dyDescent="0.25">
      <c r="A56" s="105"/>
      <c r="D56" s="105"/>
    </row>
    <row r="57" spans="1:4" x14ac:dyDescent="0.25">
      <c r="A57" s="105"/>
      <c r="D57" s="105"/>
    </row>
  </sheetData>
  <mergeCells count="14">
    <mergeCell ref="A2:A9"/>
    <mergeCell ref="A34:A41"/>
    <mergeCell ref="D34:D41"/>
    <mergeCell ref="D2:D9"/>
    <mergeCell ref="A50:A57"/>
    <mergeCell ref="D26:D33"/>
    <mergeCell ref="A18:A25"/>
    <mergeCell ref="D10:D17"/>
    <mergeCell ref="D42:D49"/>
    <mergeCell ref="A42:A49"/>
    <mergeCell ref="D50:D57"/>
    <mergeCell ref="A10:A17"/>
    <mergeCell ref="D18:D25"/>
    <mergeCell ref="A26:A33"/>
  </mergeCells>
  <pageMargins left="0.75" right="0.75" top="1" bottom="1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0"/>
  <sheetViews>
    <sheetView zoomScale="115" zoomScaleNormal="115" workbookViewId="0">
      <pane ySplit="1" topLeftCell="A137" activePane="bottomLeft" state="frozen"/>
      <selection pane="bottomLeft" activeCell="E150" sqref="E150"/>
    </sheetView>
  </sheetViews>
  <sheetFormatPr defaultRowHeight="15" x14ac:dyDescent="0.25"/>
  <cols>
    <col min="1" max="1" width="13.42578125" style="23" customWidth="1"/>
    <col min="2" max="2" width="17.7109375" style="23" bestFit="1" customWidth="1"/>
    <col min="3" max="3" width="13.5703125" style="23" bestFit="1" customWidth="1"/>
    <col min="4" max="4" width="23.85546875" style="23" bestFit="1" customWidth="1"/>
    <col min="5" max="5" width="20.42578125" style="23" bestFit="1" customWidth="1"/>
    <col min="6" max="6" width="18.42578125" style="23" bestFit="1" customWidth="1"/>
    <col min="7" max="7" width="18.85546875" style="23" bestFit="1" customWidth="1"/>
    <col min="8" max="8" width="16.85546875" style="23" customWidth="1"/>
    <col min="9" max="9" width="17.42578125" style="23" bestFit="1" customWidth="1"/>
    <col min="10" max="10" width="17.7109375" style="23" customWidth="1"/>
    <col min="11" max="11" width="9.85546875" style="23" customWidth="1"/>
    <col min="17" max="17" width="11.42578125" bestFit="1" customWidth="1"/>
  </cols>
  <sheetData>
    <row r="1" spans="1:10" ht="37.5" customHeight="1" thickBot="1" x14ac:dyDescent="0.3">
      <c r="A1" s="64" t="s">
        <v>335</v>
      </c>
      <c r="B1" s="65" t="s">
        <v>336</v>
      </c>
      <c r="C1" s="66" t="s">
        <v>294</v>
      </c>
      <c r="D1" s="65" t="s">
        <v>337</v>
      </c>
      <c r="E1" s="66" t="s">
        <v>338</v>
      </c>
      <c r="F1" s="65" t="s">
        <v>339</v>
      </c>
      <c r="G1" s="66" t="s">
        <v>340</v>
      </c>
      <c r="H1" s="67" t="s">
        <v>302</v>
      </c>
      <c r="I1" s="65" t="s">
        <v>303</v>
      </c>
      <c r="J1" s="68" t="s">
        <v>304</v>
      </c>
    </row>
    <row r="2" spans="1:10" ht="15" customHeight="1" x14ac:dyDescent="0.25">
      <c r="A2" s="108">
        <v>1</v>
      </c>
      <c r="B2" s="48">
        <f>1+0</f>
        <v>1</v>
      </c>
      <c r="C2" s="49">
        <v>45992.97991898148</v>
      </c>
      <c r="D2" s="78" t="s">
        <v>11</v>
      </c>
      <c r="E2" s="51">
        <v>350</v>
      </c>
      <c r="F2" s="52">
        <v>36.424665411067352</v>
      </c>
      <c r="G2" s="56">
        <v>1.913E-3</v>
      </c>
      <c r="H2" s="53">
        <v>1536973223</v>
      </c>
      <c r="I2" s="54">
        <v>17.100000000000001</v>
      </c>
      <c r="J2" s="55"/>
    </row>
    <row r="3" spans="1:10" ht="15" customHeight="1" x14ac:dyDescent="0.25">
      <c r="A3" s="109"/>
      <c r="B3" s="59">
        <f t="shared" ref="B3:B15" si="0">B2+1</f>
        <v>2</v>
      </c>
      <c r="C3" s="27">
        <v>45992.980138888888</v>
      </c>
      <c r="D3" s="75" t="s">
        <v>11</v>
      </c>
      <c r="E3" s="34">
        <v>400</v>
      </c>
      <c r="F3" s="35">
        <v>220.92228044212339</v>
      </c>
      <c r="G3" s="57">
        <v>2.1810000000000002E-3</v>
      </c>
      <c r="H3" s="30">
        <v>1536973223</v>
      </c>
      <c r="I3" s="36">
        <v>18.899999999999999</v>
      </c>
      <c r="J3" s="39"/>
    </row>
    <row r="4" spans="1:10" ht="15" customHeight="1" x14ac:dyDescent="0.25">
      <c r="A4" s="109"/>
      <c r="B4" s="59">
        <f t="shared" si="0"/>
        <v>3</v>
      </c>
      <c r="C4" s="27">
        <v>45992.980405092603</v>
      </c>
      <c r="D4" s="75" t="s">
        <v>11</v>
      </c>
      <c r="E4" s="34">
        <v>450</v>
      </c>
      <c r="F4" s="35">
        <v>220.92228044212339</v>
      </c>
      <c r="G4" s="57">
        <v>2.454E-3</v>
      </c>
      <c r="H4" s="30">
        <v>1536973223</v>
      </c>
      <c r="I4" s="36">
        <v>22.6</v>
      </c>
      <c r="J4" s="37"/>
    </row>
    <row r="5" spans="1:10" ht="15" customHeight="1" x14ac:dyDescent="0.25">
      <c r="A5" s="109"/>
      <c r="B5" s="59">
        <f t="shared" si="0"/>
        <v>4</v>
      </c>
      <c r="C5" s="27">
        <v>45992.980694444443</v>
      </c>
      <c r="D5" s="75" t="s">
        <v>11</v>
      </c>
      <c r="E5" s="34">
        <v>500</v>
      </c>
      <c r="F5" s="35">
        <v>0</v>
      </c>
      <c r="G5" s="57">
        <v>2.689E-3</v>
      </c>
      <c r="H5" s="30">
        <v>1536973223</v>
      </c>
      <c r="I5" s="36">
        <v>25</v>
      </c>
      <c r="J5" s="39" t="s">
        <v>341</v>
      </c>
    </row>
    <row r="6" spans="1:10" ht="15" customHeight="1" x14ac:dyDescent="0.25">
      <c r="A6" s="109"/>
      <c r="B6" s="59">
        <f t="shared" si="0"/>
        <v>5</v>
      </c>
      <c r="C6" s="27">
        <v>45992.981006944443</v>
      </c>
      <c r="D6" s="75" t="s">
        <v>11</v>
      </c>
      <c r="E6" s="34">
        <v>550</v>
      </c>
      <c r="F6" s="35">
        <v>43.5022416834545</v>
      </c>
      <c r="G6" s="57">
        <v>2.9550000000000002E-3</v>
      </c>
      <c r="H6" s="30">
        <v>1536973223</v>
      </c>
      <c r="I6" s="36">
        <v>27.5</v>
      </c>
      <c r="J6" s="39"/>
    </row>
    <row r="7" spans="1:10" ht="15" customHeight="1" x14ac:dyDescent="0.25">
      <c r="A7" s="109"/>
      <c r="B7" s="59">
        <f t="shared" si="0"/>
        <v>6</v>
      </c>
      <c r="C7" s="27">
        <v>45992.981354166674</v>
      </c>
      <c r="D7" s="75" t="s">
        <v>11</v>
      </c>
      <c r="E7" s="34">
        <v>600</v>
      </c>
      <c r="F7" s="35">
        <v>43.5022416834545</v>
      </c>
      <c r="G7" s="57">
        <v>3.2309999999999999E-3</v>
      </c>
      <c r="H7" s="30">
        <v>1536973223</v>
      </c>
      <c r="I7" s="36">
        <v>29.6</v>
      </c>
      <c r="J7" s="39"/>
    </row>
    <row r="8" spans="1:10" ht="15" customHeight="1" x14ac:dyDescent="0.25">
      <c r="A8" s="109"/>
      <c r="B8" s="59">
        <f t="shared" si="0"/>
        <v>7</v>
      </c>
      <c r="C8" s="27">
        <v>45992.981736111113</v>
      </c>
      <c r="D8" s="75" t="s">
        <v>11</v>
      </c>
      <c r="E8" s="34">
        <v>650</v>
      </c>
      <c r="F8" s="35">
        <v>48.410571842064641</v>
      </c>
      <c r="G8" s="57">
        <v>3.4640000000000001E-3</v>
      </c>
      <c r="H8" s="30">
        <v>1536973223</v>
      </c>
      <c r="I8" s="36">
        <v>32.9</v>
      </c>
      <c r="J8" s="39"/>
    </row>
    <row r="9" spans="1:10" ht="15" customHeight="1" x14ac:dyDescent="0.25">
      <c r="A9" s="109"/>
      <c r="B9" s="59">
        <f t="shared" si="0"/>
        <v>8</v>
      </c>
      <c r="C9" s="27">
        <v>45992.982141203713</v>
      </c>
      <c r="D9" s="75" t="s">
        <v>11</v>
      </c>
      <c r="E9" s="34">
        <v>700</v>
      </c>
      <c r="F9" s="35">
        <v>5.3765744381586664</v>
      </c>
      <c r="G9" s="57">
        <v>3.7469999999999999E-3</v>
      </c>
      <c r="H9" s="30">
        <v>1536973223</v>
      </c>
      <c r="I9" s="36">
        <v>35.299999999999997</v>
      </c>
      <c r="J9" s="38"/>
    </row>
    <row r="10" spans="1:10" ht="15" customHeight="1" x14ac:dyDescent="0.25">
      <c r="A10" s="109"/>
      <c r="B10" s="59">
        <f t="shared" si="0"/>
        <v>9</v>
      </c>
      <c r="C10" s="27">
        <v>45992.982592592591</v>
      </c>
      <c r="D10" s="75" t="s">
        <v>11</v>
      </c>
      <c r="E10" s="34">
        <v>750</v>
      </c>
      <c r="F10" s="35">
        <v>151.006586790852</v>
      </c>
      <c r="G10" s="57">
        <v>3.9890000000000004E-3</v>
      </c>
      <c r="H10" s="30">
        <v>1536973223</v>
      </c>
      <c r="I10" s="36">
        <v>38.5</v>
      </c>
      <c r="J10" s="39"/>
    </row>
    <row r="11" spans="1:10" ht="15" customHeight="1" x14ac:dyDescent="0.25">
      <c r="A11" s="109"/>
      <c r="B11" s="59">
        <f t="shared" si="0"/>
        <v>10</v>
      </c>
      <c r="C11" s="27">
        <v>45992.983055555553</v>
      </c>
      <c r="D11" s="75" t="s">
        <v>11</v>
      </c>
      <c r="E11" s="34">
        <v>800</v>
      </c>
      <c r="F11" s="35">
        <v>282.32359034336901</v>
      </c>
      <c r="G11" s="57">
        <v>4.2570000000000004E-3</v>
      </c>
      <c r="H11" s="30">
        <v>1536973223</v>
      </c>
      <c r="I11" s="36">
        <v>40.9</v>
      </c>
      <c r="J11" s="39"/>
    </row>
    <row r="12" spans="1:10" ht="15" customHeight="1" x14ac:dyDescent="0.25">
      <c r="A12" s="109"/>
      <c r="B12" s="59">
        <f t="shared" si="0"/>
        <v>11</v>
      </c>
      <c r="C12" s="27">
        <v>45992.983553240738</v>
      </c>
      <c r="D12" s="75" t="s">
        <v>11</v>
      </c>
      <c r="E12" s="34">
        <v>850</v>
      </c>
      <c r="F12" s="35">
        <v>607.72352623410507</v>
      </c>
      <c r="G12" s="57">
        <v>4.5050000000000003E-3</v>
      </c>
      <c r="H12" s="30">
        <v>1536973223</v>
      </c>
      <c r="I12" s="36">
        <v>42.3</v>
      </c>
      <c r="J12" s="39"/>
    </row>
    <row r="13" spans="1:10" ht="15" customHeight="1" x14ac:dyDescent="0.25">
      <c r="A13" s="109"/>
      <c r="B13" s="59">
        <f t="shared" si="0"/>
        <v>12</v>
      </c>
      <c r="C13" s="27">
        <v>45992.984155092592</v>
      </c>
      <c r="D13" s="75" t="s">
        <v>11</v>
      </c>
      <c r="E13" s="34">
        <v>1000</v>
      </c>
      <c r="F13" s="35">
        <v>770.26413556319847</v>
      </c>
      <c r="G13" s="57">
        <v>5.2300000000000003E-3</v>
      </c>
      <c r="H13" s="30">
        <v>1536973223</v>
      </c>
      <c r="I13" s="36">
        <v>51.8</v>
      </c>
      <c r="J13" s="39"/>
    </row>
    <row r="14" spans="1:10" ht="15" customHeight="1" x14ac:dyDescent="0.25">
      <c r="A14" s="109"/>
      <c r="B14" s="59">
        <f t="shared" si="0"/>
        <v>13</v>
      </c>
      <c r="C14" s="27">
        <v>45992.985243055547</v>
      </c>
      <c r="D14" s="75" t="s">
        <v>11</v>
      </c>
      <c r="E14" s="34">
        <v>1500</v>
      </c>
      <c r="F14" s="35">
        <v>1486.332298146418</v>
      </c>
      <c r="G14" s="57">
        <v>7.7460000000000003E-3</v>
      </c>
      <c r="H14" s="30">
        <v>1536973223</v>
      </c>
      <c r="I14" s="36">
        <v>94.6</v>
      </c>
      <c r="J14" s="39"/>
    </row>
    <row r="15" spans="1:10" ht="15" customHeight="1" thickBot="1" x14ac:dyDescent="0.3">
      <c r="A15" s="110"/>
      <c r="B15" s="40">
        <f t="shared" si="0"/>
        <v>14</v>
      </c>
      <c r="C15" s="41">
        <v>45992.987175925933</v>
      </c>
      <c r="D15" s="80" t="s">
        <v>11</v>
      </c>
      <c r="E15" s="43">
        <v>2000</v>
      </c>
      <c r="F15" s="44">
        <v>3810.1675539395292</v>
      </c>
      <c r="G15" s="58">
        <v>9.9749999999999995E-3</v>
      </c>
      <c r="H15" s="45">
        <v>1536973223</v>
      </c>
      <c r="I15" s="46">
        <v>166.5</v>
      </c>
      <c r="J15" s="79"/>
    </row>
    <row r="16" spans="1:10" ht="15" customHeight="1" x14ac:dyDescent="0.25">
      <c r="A16" s="108">
        <v>2</v>
      </c>
      <c r="B16" s="48">
        <f>1+0</f>
        <v>1</v>
      </c>
      <c r="C16" s="49">
        <v>45992.995011574072</v>
      </c>
      <c r="D16" s="78" t="s">
        <v>11</v>
      </c>
      <c r="E16" s="51">
        <v>350</v>
      </c>
      <c r="F16" s="52">
        <v>0</v>
      </c>
      <c r="G16" s="56">
        <v>1.9400000000000001E-3</v>
      </c>
      <c r="H16" s="53">
        <v>1538277700</v>
      </c>
      <c r="I16" s="54">
        <v>16.899999999999999</v>
      </c>
      <c r="J16" s="55" t="s">
        <v>341</v>
      </c>
    </row>
    <row r="17" spans="1:10" ht="15" customHeight="1" x14ac:dyDescent="0.25">
      <c r="A17" s="109"/>
      <c r="B17" s="59">
        <f t="shared" ref="B17:B29" si="1">B16+1</f>
        <v>2</v>
      </c>
      <c r="C17" s="27">
        <v>45992.99523148148</v>
      </c>
      <c r="D17" s="75" t="s">
        <v>11</v>
      </c>
      <c r="E17" s="34">
        <v>400</v>
      </c>
      <c r="F17" s="35">
        <v>0</v>
      </c>
      <c r="G17" s="57">
        <v>2.189E-3</v>
      </c>
      <c r="H17" s="30">
        <v>1538277700</v>
      </c>
      <c r="I17" s="36">
        <v>18.7</v>
      </c>
      <c r="J17" s="39" t="s">
        <v>341</v>
      </c>
    </row>
    <row r="18" spans="1:10" ht="15" customHeight="1" x14ac:dyDescent="0.25">
      <c r="A18" s="109"/>
      <c r="B18" s="59">
        <f t="shared" si="1"/>
        <v>3</v>
      </c>
      <c r="C18" s="27">
        <v>45992.995474537027</v>
      </c>
      <c r="D18" s="75" t="s">
        <v>11</v>
      </c>
      <c r="E18" s="34">
        <v>450</v>
      </c>
      <c r="F18" s="35">
        <v>0</v>
      </c>
      <c r="G18" s="57">
        <v>2.4399999999999999E-3</v>
      </c>
      <c r="H18" s="30">
        <v>1538277700</v>
      </c>
      <c r="I18" s="36">
        <v>21</v>
      </c>
      <c r="J18" s="37" t="s">
        <v>341</v>
      </c>
    </row>
    <row r="19" spans="1:10" ht="15" customHeight="1" x14ac:dyDescent="0.25">
      <c r="A19" s="109"/>
      <c r="B19" s="59">
        <f t="shared" si="1"/>
        <v>4</v>
      </c>
      <c r="C19" s="27">
        <v>45992.995752314811</v>
      </c>
      <c r="D19" s="75" t="s">
        <v>11</v>
      </c>
      <c r="E19" s="34">
        <v>500</v>
      </c>
      <c r="F19" s="35">
        <v>3.7599451558518968</v>
      </c>
      <c r="G19" s="57">
        <v>2.7420000000000001E-3</v>
      </c>
      <c r="H19" s="30">
        <v>1538277700</v>
      </c>
      <c r="I19" s="36">
        <v>23.9</v>
      </c>
      <c r="J19" s="39"/>
    </row>
    <row r="20" spans="1:10" ht="15" customHeight="1" x14ac:dyDescent="0.25">
      <c r="A20" s="109"/>
      <c r="B20" s="59">
        <f t="shared" si="1"/>
        <v>5</v>
      </c>
      <c r="C20" s="27">
        <v>45992.996053240742</v>
      </c>
      <c r="D20" s="75" t="s">
        <v>11</v>
      </c>
      <c r="E20" s="34">
        <v>550</v>
      </c>
      <c r="F20" s="35">
        <v>27.62575079172834</v>
      </c>
      <c r="G20" s="57">
        <v>3.0149999999999999E-3</v>
      </c>
      <c r="H20" s="30">
        <v>1538277700</v>
      </c>
      <c r="I20" s="36">
        <v>26.5</v>
      </c>
      <c r="J20" s="39"/>
    </row>
    <row r="21" spans="1:10" ht="15" customHeight="1" x14ac:dyDescent="0.25">
      <c r="A21" s="109"/>
      <c r="B21" s="59">
        <f t="shared" si="1"/>
        <v>6</v>
      </c>
      <c r="C21" s="27">
        <v>45992.996388888889</v>
      </c>
      <c r="D21" s="75" t="s">
        <v>11</v>
      </c>
      <c r="E21" s="34">
        <v>600</v>
      </c>
      <c r="F21" s="35">
        <v>0</v>
      </c>
      <c r="G21" s="57">
        <v>3.2339999999999999E-3</v>
      </c>
      <c r="H21" s="30">
        <v>1538277700</v>
      </c>
      <c r="I21" s="36">
        <v>28.4</v>
      </c>
      <c r="J21" s="39" t="s">
        <v>341</v>
      </c>
    </row>
    <row r="22" spans="1:10" ht="15" customHeight="1" x14ac:dyDescent="0.25">
      <c r="A22" s="109"/>
      <c r="B22" s="59">
        <f t="shared" si="1"/>
        <v>7</v>
      </c>
      <c r="C22" s="27">
        <v>45992.996747685182</v>
      </c>
      <c r="D22" s="75" t="s">
        <v>11</v>
      </c>
      <c r="E22" s="34">
        <v>650</v>
      </c>
      <c r="F22" s="35">
        <v>3.7599451558518968</v>
      </c>
      <c r="G22" s="57">
        <v>3.5300000000000002E-3</v>
      </c>
      <c r="H22" s="30">
        <v>1538277700</v>
      </c>
      <c r="I22" s="36">
        <v>31.2</v>
      </c>
      <c r="J22" s="39"/>
    </row>
    <row r="23" spans="1:10" ht="15" customHeight="1" x14ac:dyDescent="0.25">
      <c r="A23" s="109"/>
      <c r="B23" s="59">
        <f t="shared" si="1"/>
        <v>8</v>
      </c>
      <c r="C23" s="27">
        <v>45992.997129629628</v>
      </c>
      <c r="D23" s="75" t="s">
        <v>11</v>
      </c>
      <c r="E23" s="34">
        <v>700</v>
      </c>
      <c r="F23" s="35">
        <v>0</v>
      </c>
      <c r="G23" s="57">
        <v>3.7209999999999999E-3</v>
      </c>
      <c r="H23" s="30">
        <v>1538277700</v>
      </c>
      <c r="I23" s="36">
        <v>33.200000000000003</v>
      </c>
      <c r="J23" s="38" t="s">
        <v>341</v>
      </c>
    </row>
    <row r="24" spans="1:10" ht="15" customHeight="1" x14ac:dyDescent="0.25">
      <c r="A24" s="109"/>
      <c r="B24" s="59">
        <f t="shared" si="1"/>
        <v>9</v>
      </c>
      <c r="C24" s="27">
        <v>45992.997557870367</v>
      </c>
      <c r="D24" s="75" t="s">
        <v>11</v>
      </c>
      <c r="E24" s="34">
        <v>750</v>
      </c>
      <c r="F24" s="35">
        <v>284.65526021820909</v>
      </c>
      <c r="G24" s="57">
        <v>4.0130000000000001E-3</v>
      </c>
      <c r="H24" s="30">
        <v>1538277700</v>
      </c>
      <c r="I24" s="36">
        <v>36.4</v>
      </c>
      <c r="J24" s="39"/>
    </row>
    <row r="25" spans="1:10" ht="15" customHeight="1" x14ac:dyDescent="0.25">
      <c r="A25" s="109"/>
      <c r="B25" s="59">
        <f t="shared" si="1"/>
        <v>10</v>
      </c>
      <c r="C25" s="27">
        <v>45992.99800925926</v>
      </c>
      <c r="D25" s="75" t="s">
        <v>11</v>
      </c>
      <c r="E25" s="34">
        <v>800</v>
      </c>
      <c r="F25" s="35">
        <v>305.06677676957412</v>
      </c>
      <c r="G25" s="57">
        <v>4.2630000000000003E-3</v>
      </c>
      <c r="H25" s="30">
        <v>1538277700</v>
      </c>
      <c r="I25" s="36">
        <v>39.299999999999997</v>
      </c>
      <c r="J25" s="39"/>
    </row>
    <row r="26" spans="1:10" ht="15" customHeight="1" x14ac:dyDescent="0.25">
      <c r="A26" s="109"/>
      <c r="B26" s="59">
        <f t="shared" si="1"/>
        <v>11</v>
      </c>
      <c r="C26" s="27">
        <v>45992.998483796298</v>
      </c>
      <c r="D26" s="75" t="s">
        <v>11</v>
      </c>
      <c r="E26" s="34">
        <v>850</v>
      </c>
      <c r="F26" s="35">
        <v>62.701754923512567</v>
      </c>
      <c r="G26" s="57">
        <v>4.5170000000000002E-3</v>
      </c>
      <c r="H26" s="30">
        <v>1538277700</v>
      </c>
      <c r="I26" s="36">
        <v>41.6</v>
      </c>
      <c r="J26" s="39"/>
    </row>
    <row r="27" spans="1:10" ht="15" customHeight="1" x14ac:dyDescent="0.25">
      <c r="A27" s="109"/>
      <c r="B27" s="59">
        <f t="shared" si="1"/>
        <v>12</v>
      </c>
      <c r="C27" s="27">
        <v>45992.999074074083</v>
      </c>
      <c r="D27" s="75" t="s">
        <v>11</v>
      </c>
      <c r="E27" s="34">
        <v>1000</v>
      </c>
      <c r="F27" s="35">
        <v>262.68681518421982</v>
      </c>
      <c r="G27" s="57">
        <v>5.2769999999999996E-3</v>
      </c>
      <c r="H27" s="30">
        <v>1538277700</v>
      </c>
      <c r="I27" s="36">
        <v>50.6</v>
      </c>
      <c r="J27" s="39"/>
    </row>
    <row r="28" spans="1:10" ht="15" customHeight="1" x14ac:dyDescent="0.25">
      <c r="A28" s="109"/>
      <c r="B28" s="59">
        <f t="shared" si="1"/>
        <v>13</v>
      </c>
      <c r="C28" s="27">
        <v>45993.000162037039</v>
      </c>
      <c r="D28" s="75" t="s">
        <v>11</v>
      </c>
      <c r="E28" s="34">
        <v>1500</v>
      </c>
      <c r="F28" s="35">
        <v>1635.9490241170761</v>
      </c>
      <c r="G28" s="57">
        <v>7.6829999999999997E-3</v>
      </c>
      <c r="H28" s="30">
        <v>1538277700</v>
      </c>
      <c r="I28" s="36">
        <v>94.2</v>
      </c>
      <c r="J28" s="39"/>
    </row>
    <row r="29" spans="1:10" ht="15" customHeight="1" thickBot="1" x14ac:dyDescent="0.3">
      <c r="A29" s="110"/>
      <c r="B29" s="40">
        <f t="shared" si="1"/>
        <v>14</v>
      </c>
      <c r="C29" s="41">
        <v>45993.002152777779</v>
      </c>
      <c r="D29" s="80" t="s">
        <v>11</v>
      </c>
      <c r="E29" s="43">
        <v>2000</v>
      </c>
      <c r="F29" s="44">
        <v>4841.2719491914786</v>
      </c>
      <c r="G29" s="58">
        <v>1.0045E-2</v>
      </c>
      <c r="H29" s="45">
        <v>1538277700</v>
      </c>
      <c r="I29" s="46">
        <v>171.9</v>
      </c>
      <c r="J29" s="79"/>
    </row>
    <row r="30" spans="1:10" ht="15" customHeight="1" x14ac:dyDescent="0.25">
      <c r="A30" s="108">
        <v>3</v>
      </c>
      <c r="B30" s="48">
        <f>1+0</f>
        <v>1</v>
      </c>
      <c r="C30" s="49">
        <v>45993.009953703702</v>
      </c>
      <c r="D30" s="78" t="s">
        <v>11</v>
      </c>
      <c r="E30" s="51">
        <v>350</v>
      </c>
      <c r="F30" s="52">
        <v>0</v>
      </c>
      <c r="G30" s="56">
        <v>1.9E-3</v>
      </c>
      <c r="H30" s="53">
        <v>1539569156</v>
      </c>
      <c r="I30" s="54">
        <v>16.600000000000001</v>
      </c>
      <c r="J30" s="55" t="s">
        <v>341</v>
      </c>
    </row>
    <row r="31" spans="1:10" ht="15" customHeight="1" x14ac:dyDescent="0.25">
      <c r="A31" s="109"/>
      <c r="B31" s="59">
        <f t="shared" ref="B31:B43" si="2">B30+1</f>
        <v>2</v>
      </c>
      <c r="C31" s="27">
        <v>45993.01017361111</v>
      </c>
      <c r="D31" s="75" t="s">
        <v>11</v>
      </c>
      <c r="E31" s="34">
        <v>400</v>
      </c>
      <c r="F31" s="35">
        <v>181.04012729863649</v>
      </c>
      <c r="G31" s="57">
        <v>2.1740000000000002E-3</v>
      </c>
      <c r="H31" s="30">
        <v>1539569156</v>
      </c>
      <c r="I31" s="36">
        <v>18.899999999999999</v>
      </c>
      <c r="J31" s="39"/>
    </row>
    <row r="32" spans="1:10" ht="15" customHeight="1" x14ac:dyDescent="0.25">
      <c r="A32" s="109"/>
      <c r="B32" s="59">
        <f t="shared" si="2"/>
        <v>3</v>
      </c>
      <c r="C32" s="27">
        <v>45993.010416666657</v>
      </c>
      <c r="D32" s="75" t="s">
        <v>11</v>
      </c>
      <c r="E32" s="34">
        <v>450</v>
      </c>
      <c r="F32" s="35">
        <v>0</v>
      </c>
      <c r="G32" s="57">
        <v>2.467E-3</v>
      </c>
      <c r="H32" s="30">
        <v>1539569156</v>
      </c>
      <c r="I32" s="36">
        <v>21.2</v>
      </c>
      <c r="J32" s="37" t="s">
        <v>341</v>
      </c>
    </row>
    <row r="33" spans="1:10" ht="15" customHeight="1" x14ac:dyDescent="0.25">
      <c r="A33" s="109"/>
      <c r="B33" s="59">
        <f t="shared" si="2"/>
        <v>4</v>
      </c>
      <c r="C33" s="27">
        <v>45993.010694444441</v>
      </c>
      <c r="D33" s="75" t="s">
        <v>11</v>
      </c>
      <c r="E33" s="34">
        <v>500</v>
      </c>
      <c r="F33" s="35">
        <v>0</v>
      </c>
      <c r="G33" s="57">
        <v>2.735E-3</v>
      </c>
      <c r="H33" s="30">
        <v>1539569156</v>
      </c>
      <c r="I33" s="36">
        <v>23.8</v>
      </c>
      <c r="J33" s="39" t="s">
        <v>341</v>
      </c>
    </row>
    <row r="34" spans="1:10" ht="15" customHeight="1" x14ac:dyDescent="0.25">
      <c r="A34" s="109"/>
      <c r="B34" s="59">
        <f t="shared" si="2"/>
        <v>5</v>
      </c>
      <c r="C34" s="27">
        <v>45993.011006944442</v>
      </c>
      <c r="D34" s="75" t="s">
        <v>11</v>
      </c>
      <c r="E34" s="34">
        <v>550</v>
      </c>
      <c r="F34" s="35">
        <v>146.84713045208119</v>
      </c>
      <c r="G34" s="57">
        <v>2.9810000000000001E-3</v>
      </c>
      <c r="H34" s="30">
        <v>1539569156</v>
      </c>
      <c r="I34" s="36">
        <v>26.3</v>
      </c>
      <c r="J34" s="39"/>
    </row>
    <row r="35" spans="1:10" ht="15" customHeight="1" x14ac:dyDescent="0.25">
      <c r="A35" s="109"/>
      <c r="B35" s="59">
        <f t="shared" si="2"/>
        <v>6</v>
      </c>
      <c r="C35" s="27">
        <v>45993.011331018519</v>
      </c>
      <c r="D35" s="75" t="s">
        <v>11</v>
      </c>
      <c r="E35" s="34">
        <v>600</v>
      </c>
      <c r="F35" s="35">
        <v>211.6137374034044</v>
      </c>
      <c r="G35" s="57">
        <v>3.189E-3</v>
      </c>
      <c r="H35" s="30">
        <v>1539569156</v>
      </c>
      <c r="I35" s="36">
        <v>28.7</v>
      </c>
      <c r="J35" s="39"/>
    </row>
    <row r="36" spans="1:10" ht="15" customHeight="1" x14ac:dyDescent="0.25">
      <c r="A36" s="109"/>
      <c r="B36" s="59">
        <f t="shared" si="2"/>
        <v>7</v>
      </c>
      <c r="C36" s="27">
        <v>45993.011701388888</v>
      </c>
      <c r="D36" s="75" t="s">
        <v>11</v>
      </c>
      <c r="E36" s="34">
        <v>650</v>
      </c>
      <c r="F36" s="35">
        <v>357.64759590260479</v>
      </c>
      <c r="G36" s="57">
        <v>3.4380000000000001E-3</v>
      </c>
      <c r="H36" s="30">
        <v>1539569156</v>
      </c>
      <c r="I36" s="36">
        <v>31.2</v>
      </c>
      <c r="J36" s="39"/>
    </row>
    <row r="37" spans="1:10" ht="15" customHeight="1" x14ac:dyDescent="0.25">
      <c r="A37" s="109"/>
      <c r="B37" s="59">
        <f t="shared" si="2"/>
        <v>8</v>
      </c>
      <c r="C37" s="27">
        <v>45993.012094907397</v>
      </c>
      <c r="D37" s="75" t="s">
        <v>11</v>
      </c>
      <c r="E37" s="34">
        <v>700</v>
      </c>
      <c r="F37" s="35">
        <v>109.2347283703072</v>
      </c>
      <c r="G37" s="57">
        <v>3.751E-3</v>
      </c>
      <c r="H37" s="30">
        <v>1539569156</v>
      </c>
      <c r="I37" s="36">
        <v>34.299999999999997</v>
      </c>
      <c r="J37" s="38"/>
    </row>
    <row r="38" spans="1:10" ht="15" customHeight="1" x14ac:dyDescent="0.25">
      <c r="A38" s="109"/>
      <c r="B38" s="59">
        <f t="shared" si="2"/>
        <v>9</v>
      </c>
      <c r="C38" s="27">
        <v>45993.012523148151</v>
      </c>
      <c r="D38" s="75" t="s">
        <v>11</v>
      </c>
      <c r="E38" s="34">
        <v>750</v>
      </c>
      <c r="F38" s="35">
        <v>253.681100563743</v>
      </c>
      <c r="G38" s="57">
        <v>4.0229999999999997E-3</v>
      </c>
      <c r="H38" s="30">
        <v>1539569156</v>
      </c>
      <c r="I38" s="36">
        <v>37</v>
      </c>
      <c r="J38" s="39"/>
    </row>
    <row r="39" spans="1:10" ht="15" customHeight="1" x14ac:dyDescent="0.25">
      <c r="A39" s="109"/>
      <c r="B39" s="59">
        <f t="shared" si="2"/>
        <v>10</v>
      </c>
      <c r="C39" s="27">
        <v>45993.012974537043</v>
      </c>
      <c r="D39" s="75" t="s">
        <v>11</v>
      </c>
      <c r="E39" s="34">
        <v>800</v>
      </c>
      <c r="F39" s="35">
        <v>334.48895464409662</v>
      </c>
      <c r="G39" s="57">
        <v>4.2119999999999996E-3</v>
      </c>
      <c r="H39" s="30">
        <v>1539569156</v>
      </c>
      <c r="I39" s="36">
        <v>38.9</v>
      </c>
      <c r="J39" s="39"/>
    </row>
    <row r="40" spans="1:10" ht="15" customHeight="1" x14ac:dyDescent="0.25">
      <c r="A40" s="109"/>
      <c r="B40" s="59">
        <f t="shared" si="2"/>
        <v>11</v>
      </c>
      <c r="C40" s="27">
        <v>45993.013460648152</v>
      </c>
      <c r="D40" s="75" t="s">
        <v>11</v>
      </c>
      <c r="E40" s="34">
        <v>850</v>
      </c>
      <c r="F40" s="35">
        <v>488.78405821484409</v>
      </c>
      <c r="G40" s="57">
        <v>4.463E-3</v>
      </c>
      <c r="H40" s="30">
        <v>1539569156</v>
      </c>
      <c r="I40" s="36">
        <v>42.1</v>
      </c>
      <c r="J40" s="39"/>
    </row>
    <row r="41" spans="1:10" ht="15" customHeight="1" x14ac:dyDescent="0.25">
      <c r="A41" s="109"/>
      <c r="B41" s="59">
        <f t="shared" si="2"/>
        <v>12</v>
      </c>
      <c r="C41" s="27">
        <v>45993.014050925929</v>
      </c>
      <c r="D41" s="75" t="s">
        <v>11</v>
      </c>
      <c r="E41" s="34">
        <v>1000</v>
      </c>
      <c r="F41" s="35">
        <v>804.91036311813502</v>
      </c>
      <c r="G41" s="57">
        <v>5.2100000000000002E-3</v>
      </c>
      <c r="H41" s="30">
        <v>1539569156</v>
      </c>
      <c r="I41" s="36">
        <v>51</v>
      </c>
      <c r="J41" s="39"/>
    </row>
    <row r="42" spans="1:10" ht="15" customHeight="1" x14ac:dyDescent="0.25">
      <c r="A42" s="109"/>
      <c r="B42" s="59">
        <f t="shared" si="2"/>
        <v>13</v>
      </c>
      <c r="C42" s="27">
        <v>45993.015138888892</v>
      </c>
      <c r="D42" s="75" t="s">
        <v>11</v>
      </c>
      <c r="E42" s="34">
        <v>1500</v>
      </c>
      <c r="F42" s="35">
        <v>1797.238664625685</v>
      </c>
      <c r="G42" s="57">
        <v>7.5919999999999998E-3</v>
      </c>
      <c r="H42" s="30">
        <v>1539569156</v>
      </c>
      <c r="I42" s="36">
        <v>93.5</v>
      </c>
      <c r="J42" s="39"/>
    </row>
    <row r="43" spans="1:10" ht="15" customHeight="1" thickBot="1" x14ac:dyDescent="0.3">
      <c r="A43" s="110"/>
      <c r="B43" s="40">
        <f t="shared" si="2"/>
        <v>14</v>
      </c>
      <c r="C43" s="41">
        <v>45993.017141203702</v>
      </c>
      <c r="D43" s="80" t="s">
        <v>11</v>
      </c>
      <c r="E43" s="43">
        <v>2000</v>
      </c>
      <c r="F43" s="44">
        <v>3300.4807984708568</v>
      </c>
      <c r="G43" s="58">
        <v>1.0045999999999999E-2</v>
      </c>
      <c r="H43" s="45">
        <v>1539569156</v>
      </c>
      <c r="I43" s="46">
        <v>173</v>
      </c>
      <c r="J43" s="79"/>
    </row>
    <row r="44" spans="1:10" ht="15" customHeight="1" x14ac:dyDescent="0.25">
      <c r="A44" s="108">
        <v>4</v>
      </c>
      <c r="B44" s="48">
        <f>1+0</f>
        <v>1</v>
      </c>
      <c r="C44" s="49">
        <v>45993.025011574071</v>
      </c>
      <c r="D44" s="78" t="s">
        <v>11</v>
      </c>
      <c r="E44" s="51">
        <v>350</v>
      </c>
      <c r="F44" s="52">
        <v>0</v>
      </c>
      <c r="G44" s="56">
        <v>1.983E-3</v>
      </c>
      <c r="H44" s="53">
        <v>1540868934</v>
      </c>
      <c r="I44" s="54">
        <v>17.2</v>
      </c>
      <c r="J44" s="55" t="s">
        <v>341</v>
      </c>
    </row>
    <row r="45" spans="1:10" ht="15" customHeight="1" x14ac:dyDescent="0.25">
      <c r="A45" s="109"/>
      <c r="B45" s="59">
        <f t="shared" ref="B45:B57" si="3">B44+1</f>
        <v>2</v>
      </c>
      <c r="C45" s="27">
        <v>45993.025231481479</v>
      </c>
      <c r="D45" s="75" t="s">
        <v>11</v>
      </c>
      <c r="E45" s="34">
        <v>400</v>
      </c>
      <c r="F45" s="35">
        <v>0</v>
      </c>
      <c r="G45" s="57">
        <v>2.2759999999999998E-3</v>
      </c>
      <c r="H45" s="30">
        <v>1540868934</v>
      </c>
      <c r="I45" s="36">
        <v>19.399999999999999</v>
      </c>
      <c r="J45" s="39" t="s">
        <v>341</v>
      </c>
    </row>
    <row r="46" spans="1:10" ht="15" customHeight="1" x14ac:dyDescent="0.25">
      <c r="A46" s="109"/>
      <c r="B46" s="59">
        <f t="shared" si="3"/>
        <v>3</v>
      </c>
      <c r="C46" s="27">
        <v>45993.02548611111</v>
      </c>
      <c r="D46" s="75" t="s">
        <v>11</v>
      </c>
      <c r="E46" s="34">
        <v>450</v>
      </c>
      <c r="F46" s="35">
        <v>40.918823182579452</v>
      </c>
      <c r="G46" s="57">
        <v>2.4740000000000001E-3</v>
      </c>
      <c r="H46" s="30">
        <v>1540868934</v>
      </c>
      <c r="I46" s="36">
        <v>21.4</v>
      </c>
      <c r="J46" s="37"/>
    </row>
    <row r="47" spans="1:10" ht="15" customHeight="1" x14ac:dyDescent="0.25">
      <c r="A47" s="109"/>
      <c r="B47" s="59">
        <f t="shared" si="3"/>
        <v>4</v>
      </c>
      <c r="C47" s="27">
        <v>45993.025752314818</v>
      </c>
      <c r="D47" s="75" t="s">
        <v>11</v>
      </c>
      <c r="E47" s="34">
        <v>500</v>
      </c>
      <c r="F47" s="35">
        <v>36.294424750308522</v>
      </c>
      <c r="G47" s="57">
        <v>2.7139999999999998E-3</v>
      </c>
      <c r="H47" s="30">
        <v>1540868934</v>
      </c>
      <c r="I47" s="36">
        <v>23.7</v>
      </c>
      <c r="J47" s="39"/>
    </row>
    <row r="48" spans="1:10" ht="15" customHeight="1" x14ac:dyDescent="0.25">
      <c r="A48" s="109"/>
      <c r="B48" s="59">
        <f t="shared" si="3"/>
        <v>5</v>
      </c>
      <c r="C48" s="27">
        <v>45993.026064814818</v>
      </c>
      <c r="D48" s="75" t="s">
        <v>11</v>
      </c>
      <c r="E48" s="34">
        <v>550</v>
      </c>
      <c r="F48" s="35">
        <v>100.26034181472529</v>
      </c>
      <c r="G48" s="57">
        <v>3.029E-3</v>
      </c>
      <c r="H48" s="30">
        <v>1540868934</v>
      </c>
      <c r="I48" s="36">
        <v>26.5</v>
      </c>
      <c r="J48" s="39"/>
    </row>
    <row r="49" spans="1:10" ht="15" customHeight="1" x14ac:dyDescent="0.25">
      <c r="A49" s="109"/>
      <c r="B49" s="59">
        <f t="shared" si="3"/>
        <v>6</v>
      </c>
      <c r="C49" s="27">
        <v>45993.026400462957</v>
      </c>
      <c r="D49" s="75" t="s">
        <v>11</v>
      </c>
      <c r="E49" s="34">
        <v>600</v>
      </c>
      <c r="F49" s="35">
        <v>115.1879796544667</v>
      </c>
      <c r="G49" s="57">
        <v>3.2529999999999998E-3</v>
      </c>
      <c r="H49" s="30">
        <v>1540868934</v>
      </c>
      <c r="I49" s="36">
        <v>28.8</v>
      </c>
      <c r="J49" s="39"/>
    </row>
    <row r="50" spans="1:10" ht="15" customHeight="1" x14ac:dyDescent="0.25">
      <c r="A50" s="109"/>
      <c r="B50" s="59">
        <f t="shared" si="3"/>
        <v>7</v>
      </c>
      <c r="C50" s="27">
        <v>45993.026759259257</v>
      </c>
      <c r="D50" s="75" t="s">
        <v>11</v>
      </c>
      <c r="E50" s="34">
        <v>650</v>
      </c>
      <c r="F50" s="35">
        <v>115.18820312767311</v>
      </c>
      <c r="G50" s="57">
        <v>3.5149999999999999E-3</v>
      </c>
      <c r="H50" s="30">
        <v>1540868934</v>
      </c>
      <c r="I50" s="36">
        <v>31.3</v>
      </c>
      <c r="J50" s="39"/>
    </row>
    <row r="51" spans="1:10" ht="15" customHeight="1" x14ac:dyDescent="0.25">
      <c r="A51" s="109"/>
      <c r="B51" s="59">
        <f t="shared" si="3"/>
        <v>8</v>
      </c>
      <c r="C51" s="27">
        <v>45993.02715277778</v>
      </c>
      <c r="D51" s="75" t="s">
        <v>11</v>
      </c>
      <c r="E51" s="34">
        <v>700</v>
      </c>
      <c r="F51" s="35">
        <v>120.67310839647659</v>
      </c>
      <c r="G51" s="57">
        <v>3.7569999999999999E-3</v>
      </c>
      <c r="H51" s="30">
        <v>1540868934</v>
      </c>
      <c r="I51" s="36">
        <v>34</v>
      </c>
      <c r="J51" s="38"/>
    </row>
    <row r="52" spans="1:10" ht="15" customHeight="1" x14ac:dyDescent="0.25">
      <c r="A52" s="109"/>
      <c r="B52" s="59">
        <f t="shared" si="3"/>
        <v>9</v>
      </c>
      <c r="C52" s="27">
        <v>45993.027581018519</v>
      </c>
      <c r="D52" s="75" t="s">
        <v>11</v>
      </c>
      <c r="E52" s="34">
        <v>750</v>
      </c>
      <c r="F52" s="35">
        <v>67.581216145846611</v>
      </c>
      <c r="G52" s="57">
        <v>3.9839999999999997E-3</v>
      </c>
      <c r="H52" s="30">
        <v>1540868934</v>
      </c>
      <c r="I52" s="36">
        <v>36.6</v>
      </c>
      <c r="J52" s="39"/>
    </row>
    <row r="53" spans="1:10" ht="15" customHeight="1" x14ac:dyDescent="0.25">
      <c r="A53" s="109"/>
      <c r="B53" s="59">
        <f t="shared" si="3"/>
        <v>10</v>
      </c>
      <c r="C53" s="27">
        <v>45993.028032407397</v>
      </c>
      <c r="D53" s="75" t="s">
        <v>11</v>
      </c>
      <c r="E53" s="34">
        <v>800</v>
      </c>
      <c r="F53" s="35">
        <v>91.917165728514803</v>
      </c>
      <c r="G53" s="57">
        <v>4.2500000000000003E-3</v>
      </c>
      <c r="H53" s="30">
        <v>1540868934</v>
      </c>
      <c r="I53" s="36">
        <v>39.700000000000003</v>
      </c>
      <c r="J53" s="39"/>
    </row>
    <row r="54" spans="1:10" ht="15" customHeight="1" x14ac:dyDescent="0.25">
      <c r="A54" s="109"/>
      <c r="B54" s="59">
        <f t="shared" si="3"/>
        <v>11</v>
      </c>
      <c r="C54" s="27">
        <v>45993.02853009259</v>
      </c>
      <c r="D54" s="75" t="s">
        <v>11</v>
      </c>
      <c r="E54" s="34">
        <v>850</v>
      </c>
      <c r="F54" s="35">
        <v>105.42389165983739</v>
      </c>
      <c r="G54" s="57">
        <v>4.47E-3</v>
      </c>
      <c r="H54" s="30">
        <v>1540868934</v>
      </c>
      <c r="I54" s="36">
        <v>42.1</v>
      </c>
      <c r="J54" s="39"/>
    </row>
    <row r="55" spans="1:10" ht="15" customHeight="1" x14ac:dyDescent="0.25">
      <c r="A55" s="109"/>
      <c r="B55" s="59">
        <f t="shared" si="3"/>
        <v>12</v>
      </c>
      <c r="C55" s="27">
        <v>45993.029131944437</v>
      </c>
      <c r="D55" s="75" t="s">
        <v>11</v>
      </c>
      <c r="E55" s="34">
        <v>1000</v>
      </c>
      <c r="F55" s="35">
        <v>522.02641348886482</v>
      </c>
      <c r="G55" s="57">
        <v>5.2989999999999999E-3</v>
      </c>
      <c r="H55" s="30">
        <v>1540868934</v>
      </c>
      <c r="I55" s="36">
        <v>52.6</v>
      </c>
      <c r="J55" s="39"/>
    </row>
    <row r="56" spans="1:10" ht="15" customHeight="1" x14ac:dyDescent="0.25">
      <c r="A56" s="109"/>
      <c r="B56" s="59">
        <f t="shared" si="3"/>
        <v>13</v>
      </c>
      <c r="C56" s="27">
        <v>45993.03019675926</v>
      </c>
      <c r="D56" s="75" t="s">
        <v>11</v>
      </c>
      <c r="E56" s="34">
        <v>1500</v>
      </c>
      <c r="F56" s="35">
        <v>1177.3638125558759</v>
      </c>
      <c r="G56" s="57">
        <v>7.6530000000000001E-3</v>
      </c>
      <c r="H56" s="30">
        <v>1540868934</v>
      </c>
      <c r="I56" s="36">
        <v>92.2</v>
      </c>
      <c r="J56" s="39"/>
    </row>
    <row r="57" spans="1:10" ht="15.75" customHeight="1" thickBot="1" x14ac:dyDescent="0.3">
      <c r="A57" s="110"/>
      <c r="B57" s="40">
        <f t="shared" si="3"/>
        <v>14</v>
      </c>
      <c r="C57" s="41">
        <v>45993.032164351847</v>
      </c>
      <c r="D57" s="80" t="s">
        <v>11</v>
      </c>
      <c r="E57" s="43">
        <v>2000</v>
      </c>
      <c r="F57" s="44">
        <v>2830.0966370098422</v>
      </c>
      <c r="G57" s="58">
        <v>9.972E-3</v>
      </c>
      <c r="H57" s="45">
        <v>1540868934</v>
      </c>
      <c r="I57" s="46">
        <v>169.4</v>
      </c>
      <c r="J57" s="79"/>
    </row>
    <row r="58" spans="1:10" ht="15" customHeight="1" x14ac:dyDescent="0.25">
      <c r="A58" s="108">
        <v>5</v>
      </c>
      <c r="B58" s="48">
        <f>1+0</f>
        <v>1</v>
      </c>
      <c r="C58" s="49">
        <v>45993.04</v>
      </c>
      <c r="D58" s="78" t="s">
        <v>11</v>
      </c>
      <c r="E58" s="51">
        <v>350</v>
      </c>
      <c r="F58" s="52">
        <v>0</v>
      </c>
      <c r="G58" s="56">
        <v>1.934E-3</v>
      </c>
      <c r="H58" s="53">
        <v>1542164918</v>
      </c>
      <c r="I58" s="54">
        <v>16.8</v>
      </c>
      <c r="J58" s="55" t="s">
        <v>341</v>
      </c>
    </row>
    <row r="59" spans="1:10" ht="15" customHeight="1" x14ac:dyDescent="0.25">
      <c r="A59" s="109"/>
      <c r="B59" s="59">
        <f t="shared" ref="B59:B71" si="4">B58+1</f>
        <v>2</v>
      </c>
      <c r="C59" s="27">
        <v>45993.040219907409</v>
      </c>
      <c r="D59" s="75" t="s">
        <v>11</v>
      </c>
      <c r="E59" s="34">
        <v>400</v>
      </c>
      <c r="F59" s="35">
        <v>0</v>
      </c>
      <c r="G59" s="57">
        <v>2.199E-3</v>
      </c>
      <c r="H59" s="30">
        <v>1542164918</v>
      </c>
      <c r="I59" s="36">
        <v>18.8</v>
      </c>
      <c r="J59" s="39" t="s">
        <v>341</v>
      </c>
    </row>
    <row r="60" spans="1:10" ht="15" customHeight="1" x14ac:dyDescent="0.25">
      <c r="A60" s="109"/>
      <c r="B60" s="59">
        <f t="shared" si="4"/>
        <v>3</v>
      </c>
      <c r="C60" s="27">
        <v>45993.040462962963</v>
      </c>
      <c r="D60" s="75" t="s">
        <v>11</v>
      </c>
      <c r="E60" s="34">
        <v>450</v>
      </c>
      <c r="F60" s="35">
        <v>0</v>
      </c>
      <c r="G60" s="57">
        <v>2.477E-3</v>
      </c>
      <c r="H60" s="30">
        <v>1542164918</v>
      </c>
      <c r="I60" s="36">
        <v>21.3</v>
      </c>
      <c r="J60" s="37" t="s">
        <v>341</v>
      </c>
    </row>
    <row r="61" spans="1:10" ht="15" customHeight="1" x14ac:dyDescent="0.25">
      <c r="A61" s="109"/>
      <c r="B61" s="59">
        <f t="shared" si="4"/>
        <v>4</v>
      </c>
      <c r="C61" s="27">
        <v>45993.04074074074</v>
      </c>
      <c r="D61" s="75" t="s">
        <v>11</v>
      </c>
      <c r="E61" s="34">
        <v>500</v>
      </c>
      <c r="F61" s="35">
        <v>4.2379737545623613</v>
      </c>
      <c r="G61" s="57">
        <v>2.735E-3</v>
      </c>
      <c r="H61" s="30">
        <v>1542164918</v>
      </c>
      <c r="I61" s="36">
        <v>23.8</v>
      </c>
      <c r="J61" s="39"/>
    </row>
    <row r="62" spans="1:10" ht="15" customHeight="1" x14ac:dyDescent="0.25">
      <c r="A62" s="109"/>
      <c r="B62" s="59">
        <f t="shared" si="4"/>
        <v>5</v>
      </c>
      <c r="C62" s="27">
        <v>45993.041041666656</v>
      </c>
      <c r="D62" s="75" t="s">
        <v>11</v>
      </c>
      <c r="E62" s="34">
        <v>550</v>
      </c>
      <c r="F62" s="35">
        <v>4.2379828759874139</v>
      </c>
      <c r="G62" s="57">
        <v>2.9880000000000002E-3</v>
      </c>
      <c r="H62" s="30">
        <v>1542164918</v>
      </c>
      <c r="I62" s="36">
        <v>26.2</v>
      </c>
      <c r="J62" s="39"/>
    </row>
    <row r="63" spans="1:10" ht="15" customHeight="1" x14ac:dyDescent="0.25">
      <c r="A63" s="109"/>
      <c r="B63" s="59">
        <f t="shared" si="4"/>
        <v>6</v>
      </c>
      <c r="C63" s="27">
        <v>45993.041377314818</v>
      </c>
      <c r="D63" s="75" t="s">
        <v>11</v>
      </c>
      <c r="E63" s="34">
        <v>600</v>
      </c>
      <c r="F63" s="35">
        <v>0</v>
      </c>
      <c r="G63" s="57">
        <v>3.2780000000000001E-3</v>
      </c>
      <c r="H63" s="30">
        <v>1542164918</v>
      </c>
      <c r="I63" s="36">
        <v>28.6</v>
      </c>
      <c r="J63" s="39" t="s">
        <v>341</v>
      </c>
    </row>
    <row r="64" spans="1:10" ht="15" customHeight="1" x14ac:dyDescent="0.25">
      <c r="A64" s="109"/>
      <c r="B64" s="59">
        <f t="shared" si="4"/>
        <v>7</v>
      </c>
      <c r="C64" s="27">
        <v>45993.04173611111</v>
      </c>
      <c r="D64" s="75" t="s">
        <v>11</v>
      </c>
      <c r="E64" s="34">
        <v>650</v>
      </c>
      <c r="F64" s="35">
        <v>0</v>
      </c>
      <c r="G64" s="57">
        <v>3.5309999999999999E-3</v>
      </c>
      <c r="H64" s="30">
        <v>1542164918</v>
      </c>
      <c r="I64" s="36">
        <v>31.2</v>
      </c>
      <c r="J64" s="39" t="s">
        <v>341</v>
      </c>
    </row>
    <row r="65" spans="1:10" ht="15" customHeight="1" x14ac:dyDescent="0.25">
      <c r="A65" s="109"/>
      <c r="B65" s="59">
        <f t="shared" si="4"/>
        <v>8</v>
      </c>
      <c r="C65" s="27">
        <v>45993.042129629634</v>
      </c>
      <c r="D65" s="75" t="s">
        <v>11</v>
      </c>
      <c r="E65" s="34">
        <v>700</v>
      </c>
      <c r="F65" s="35">
        <v>27.85796244698583</v>
      </c>
      <c r="G65" s="57">
        <v>3.7859999999999999E-3</v>
      </c>
      <c r="H65" s="30">
        <v>1542164918</v>
      </c>
      <c r="I65" s="36">
        <v>34</v>
      </c>
      <c r="J65" s="38"/>
    </row>
    <row r="66" spans="1:10" ht="15" customHeight="1" x14ac:dyDescent="0.25">
      <c r="A66" s="109"/>
      <c r="B66" s="59">
        <f t="shared" si="4"/>
        <v>9</v>
      </c>
      <c r="C66" s="27">
        <v>45993.042557870373</v>
      </c>
      <c r="D66" s="75" t="s">
        <v>11</v>
      </c>
      <c r="E66" s="34">
        <v>750</v>
      </c>
      <c r="F66" s="35">
        <v>15.74647844730981</v>
      </c>
      <c r="G66" s="57">
        <v>4.0540000000000003E-3</v>
      </c>
      <c r="H66" s="30">
        <v>1542164918</v>
      </c>
      <c r="I66" s="36">
        <v>36.9</v>
      </c>
      <c r="J66" s="39"/>
    </row>
    <row r="67" spans="1:10" ht="15" customHeight="1" x14ac:dyDescent="0.25">
      <c r="A67" s="109"/>
      <c r="B67" s="59">
        <f t="shared" si="4"/>
        <v>10</v>
      </c>
      <c r="C67" s="27">
        <v>45993.043020833327</v>
      </c>
      <c r="D67" s="75" t="s">
        <v>11</v>
      </c>
      <c r="E67" s="34">
        <v>800</v>
      </c>
      <c r="F67" s="35">
        <v>272.0041138886142</v>
      </c>
      <c r="G67" s="57">
        <v>4.3499999999999997E-3</v>
      </c>
      <c r="H67" s="30">
        <v>1542164918</v>
      </c>
      <c r="I67" s="36">
        <v>39.6</v>
      </c>
      <c r="J67" s="39"/>
    </row>
    <row r="68" spans="1:10" ht="15" customHeight="1" x14ac:dyDescent="0.25">
      <c r="A68" s="109"/>
      <c r="B68" s="59">
        <f t="shared" si="4"/>
        <v>11</v>
      </c>
      <c r="C68" s="27">
        <v>45993.043506944443</v>
      </c>
      <c r="D68" s="75" t="s">
        <v>11</v>
      </c>
      <c r="E68" s="34">
        <v>850</v>
      </c>
      <c r="F68" s="35">
        <v>27.877877528083449</v>
      </c>
      <c r="G68" s="57">
        <v>4.5649999999999996E-3</v>
      </c>
      <c r="H68" s="30">
        <v>1542164918</v>
      </c>
      <c r="I68" s="36">
        <v>42.2</v>
      </c>
      <c r="J68" s="39"/>
    </row>
    <row r="69" spans="1:10" ht="15" customHeight="1" x14ac:dyDescent="0.25">
      <c r="A69" s="109"/>
      <c r="B69" s="59">
        <f t="shared" si="4"/>
        <v>12</v>
      </c>
      <c r="C69" s="27">
        <v>45993.044108796297</v>
      </c>
      <c r="D69" s="75" t="s">
        <v>11</v>
      </c>
      <c r="E69" s="34">
        <v>1000</v>
      </c>
      <c r="F69" s="35">
        <v>351.4926068269603</v>
      </c>
      <c r="G69" s="57">
        <v>5.3340000000000002E-3</v>
      </c>
      <c r="H69" s="30">
        <v>1542164918</v>
      </c>
      <c r="I69" s="36">
        <v>51.9</v>
      </c>
      <c r="J69" s="39"/>
    </row>
    <row r="70" spans="1:10" ht="15" customHeight="1" x14ac:dyDescent="0.25">
      <c r="A70" s="109"/>
      <c r="B70" s="59">
        <f t="shared" si="4"/>
        <v>13</v>
      </c>
      <c r="C70" s="27">
        <v>45993.045219907413</v>
      </c>
      <c r="D70" s="75" t="s">
        <v>11</v>
      </c>
      <c r="E70" s="34">
        <v>1500</v>
      </c>
      <c r="F70" s="35">
        <v>1338.0723778359079</v>
      </c>
      <c r="G70" s="57">
        <v>7.7749999999999998E-3</v>
      </c>
      <c r="H70" s="30">
        <v>1542164918</v>
      </c>
      <c r="I70" s="36">
        <v>95.9</v>
      </c>
      <c r="J70" s="39"/>
    </row>
    <row r="71" spans="1:10" ht="15.75" customHeight="1" thickBot="1" x14ac:dyDescent="0.3">
      <c r="A71" s="110"/>
      <c r="B71" s="40">
        <f t="shared" si="4"/>
        <v>14</v>
      </c>
      <c r="C71" s="41">
        <v>45993.047222222223</v>
      </c>
      <c r="D71" s="80" t="s">
        <v>11</v>
      </c>
      <c r="E71" s="43">
        <v>2000</v>
      </c>
      <c r="F71" s="44">
        <v>3487.3276793688178</v>
      </c>
      <c r="G71" s="58">
        <v>1.0142999999999999E-2</v>
      </c>
      <c r="H71" s="45">
        <v>1542164918</v>
      </c>
      <c r="I71" s="46">
        <v>172.6</v>
      </c>
      <c r="J71" s="79"/>
    </row>
    <row r="72" spans="1:10" ht="15" customHeight="1" x14ac:dyDescent="0.25">
      <c r="A72" s="108">
        <v>6</v>
      </c>
      <c r="B72" s="48">
        <f>1+0</f>
        <v>1</v>
      </c>
      <c r="C72" s="49">
        <v>45993.055046296293</v>
      </c>
      <c r="D72" s="78" t="s">
        <v>11</v>
      </c>
      <c r="E72" s="51">
        <v>350</v>
      </c>
      <c r="F72" s="52">
        <v>0</v>
      </c>
      <c r="G72" s="56">
        <v>1.89E-3</v>
      </c>
      <c r="H72" s="53">
        <v>1543465087</v>
      </c>
      <c r="I72" s="54">
        <v>16.5</v>
      </c>
      <c r="J72" s="55" t="s">
        <v>341</v>
      </c>
    </row>
    <row r="73" spans="1:10" ht="15" customHeight="1" x14ac:dyDescent="0.25">
      <c r="A73" s="109"/>
      <c r="B73" s="59">
        <f t="shared" ref="B73:B85" si="5">B72+1</f>
        <v>2</v>
      </c>
      <c r="C73" s="27">
        <v>45993.055266203701</v>
      </c>
      <c r="D73" s="75" t="s">
        <v>11</v>
      </c>
      <c r="E73" s="34">
        <v>400</v>
      </c>
      <c r="F73" s="35">
        <v>0</v>
      </c>
      <c r="G73" s="57">
        <v>2.15E-3</v>
      </c>
      <c r="H73" s="30">
        <v>1543465087</v>
      </c>
      <c r="I73" s="36">
        <v>18.600000000000001</v>
      </c>
      <c r="J73" s="39" t="s">
        <v>341</v>
      </c>
    </row>
    <row r="74" spans="1:10" ht="15" customHeight="1" x14ac:dyDescent="0.25">
      <c r="A74" s="109"/>
      <c r="B74" s="59">
        <f t="shared" si="5"/>
        <v>3</v>
      </c>
      <c r="C74" s="27">
        <v>45993.055509259262</v>
      </c>
      <c r="D74" s="75" t="s">
        <v>11</v>
      </c>
      <c r="E74" s="34">
        <v>450</v>
      </c>
      <c r="F74" s="35">
        <v>0</v>
      </c>
      <c r="G74" s="57">
        <v>2.4120000000000001E-3</v>
      </c>
      <c r="H74" s="30">
        <v>1543465087</v>
      </c>
      <c r="I74" s="36">
        <v>20.8</v>
      </c>
      <c r="J74" s="37" t="s">
        <v>341</v>
      </c>
    </row>
    <row r="75" spans="1:10" ht="15" customHeight="1" x14ac:dyDescent="0.25">
      <c r="A75" s="109"/>
      <c r="B75" s="59">
        <f t="shared" si="5"/>
        <v>4</v>
      </c>
      <c r="C75" s="27">
        <v>45993.055775462963</v>
      </c>
      <c r="D75" s="75" t="s">
        <v>11</v>
      </c>
      <c r="E75" s="34">
        <v>500</v>
      </c>
      <c r="F75" s="35">
        <v>221.74706604459689</v>
      </c>
      <c r="G75" s="57">
        <v>2.709E-3</v>
      </c>
      <c r="H75" s="30">
        <v>1543465087</v>
      </c>
      <c r="I75" s="36">
        <v>23.7</v>
      </c>
      <c r="J75" s="39"/>
    </row>
    <row r="76" spans="1:10" ht="15" customHeight="1" x14ac:dyDescent="0.25">
      <c r="A76" s="109"/>
      <c r="B76" s="59">
        <f t="shared" si="5"/>
        <v>5</v>
      </c>
      <c r="C76" s="27">
        <v>45993.056087962963</v>
      </c>
      <c r="D76" s="75" t="s">
        <v>11</v>
      </c>
      <c r="E76" s="34">
        <v>550</v>
      </c>
      <c r="F76" s="35">
        <v>226.60012984166261</v>
      </c>
      <c r="G76" s="57">
        <v>2.9750000000000002E-3</v>
      </c>
      <c r="H76" s="30">
        <v>1543465087</v>
      </c>
      <c r="I76" s="36">
        <v>26.4</v>
      </c>
      <c r="J76" s="39"/>
    </row>
    <row r="77" spans="1:10" ht="15" customHeight="1" x14ac:dyDescent="0.25">
      <c r="A77" s="109"/>
      <c r="B77" s="59">
        <f t="shared" si="5"/>
        <v>6</v>
      </c>
      <c r="C77" s="27">
        <v>45993.056423611109</v>
      </c>
      <c r="D77" s="75" t="s">
        <v>11</v>
      </c>
      <c r="E77" s="34">
        <v>600</v>
      </c>
      <c r="F77" s="35">
        <v>226.6001479468863</v>
      </c>
      <c r="G77" s="57">
        <v>3.235E-3</v>
      </c>
      <c r="H77" s="30">
        <v>1543465087</v>
      </c>
      <c r="I77" s="36">
        <v>28.8</v>
      </c>
      <c r="J77" s="39"/>
    </row>
    <row r="78" spans="1:10" ht="15" customHeight="1" x14ac:dyDescent="0.25">
      <c r="A78" s="109"/>
      <c r="B78" s="59">
        <f t="shared" si="5"/>
        <v>7</v>
      </c>
      <c r="C78" s="27">
        <v>45993.05678240741</v>
      </c>
      <c r="D78" s="75" t="s">
        <v>11</v>
      </c>
      <c r="E78" s="34">
        <v>650</v>
      </c>
      <c r="F78" s="35">
        <v>273.23614779120078</v>
      </c>
      <c r="G78" s="57">
        <v>3.4880000000000002E-3</v>
      </c>
      <c r="H78" s="30">
        <v>1543465087</v>
      </c>
      <c r="I78" s="36">
        <v>31.6</v>
      </c>
      <c r="J78" s="39"/>
    </row>
    <row r="79" spans="1:10" ht="15" customHeight="1" x14ac:dyDescent="0.25">
      <c r="A79" s="109"/>
      <c r="B79" s="59">
        <f t="shared" si="5"/>
        <v>8</v>
      </c>
      <c r="C79" s="27">
        <v>45993.057175925933</v>
      </c>
      <c r="D79" s="75" t="s">
        <v>11</v>
      </c>
      <c r="E79" s="34">
        <v>700</v>
      </c>
      <c r="F79" s="35">
        <v>287.49175890775848</v>
      </c>
      <c r="G79" s="57">
        <v>3.725E-3</v>
      </c>
      <c r="H79" s="30">
        <v>1543465087</v>
      </c>
      <c r="I79" s="36">
        <v>33.799999999999997</v>
      </c>
      <c r="J79" s="38"/>
    </row>
    <row r="80" spans="1:10" ht="15" customHeight="1" x14ac:dyDescent="0.25">
      <c r="A80" s="109"/>
      <c r="B80" s="59">
        <f t="shared" si="5"/>
        <v>9</v>
      </c>
      <c r="C80" s="27">
        <v>45993.057604166657</v>
      </c>
      <c r="D80" s="75" t="s">
        <v>11</v>
      </c>
      <c r="E80" s="34">
        <v>750</v>
      </c>
      <c r="F80" s="35">
        <v>263.14911049540677</v>
      </c>
      <c r="G80" s="57">
        <v>3.9820000000000003E-3</v>
      </c>
      <c r="H80" s="30">
        <v>1543465087</v>
      </c>
      <c r="I80" s="36">
        <v>36.6</v>
      </c>
      <c r="J80" s="39"/>
    </row>
    <row r="81" spans="1:10" ht="15" customHeight="1" x14ac:dyDescent="0.25">
      <c r="A81" s="109"/>
      <c r="B81" s="59">
        <f t="shared" si="5"/>
        <v>10</v>
      </c>
      <c r="C81" s="27">
        <v>45993.058055555557</v>
      </c>
      <c r="D81" s="75" t="s">
        <v>11</v>
      </c>
      <c r="E81" s="34">
        <v>800</v>
      </c>
      <c r="F81" s="35">
        <v>475.31482326156618</v>
      </c>
      <c r="G81" s="57">
        <v>4.2420000000000001E-3</v>
      </c>
      <c r="H81" s="30">
        <v>1543465087</v>
      </c>
      <c r="I81" s="36">
        <v>39.6</v>
      </c>
      <c r="J81" s="39"/>
    </row>
    <row r="82" spans="1:10" ht="15" customHeight="1" x14ac:dyDescent="0.25">
      <c r="A82" s="109"/>
      <c r="B82" s="59">
        <f t="shared" si="5"/>
        <v>11</v>
      </c>
      <c r="C82" s="27">
        <v>45993.058541666673</v>
      </c>
      <c r="D82" s="75" t="s">
        <v>11</v>
      </c>
      <c r="E82" s="34">
        <v>850</v>
      </c>
      <c r="F82" s="35">
        <v>193.54439941485501</v>
      </c>
      <c r="G82" s="57">
        <v>4.4790000000000003E-3</v>
      </c>
      <c r="H82" s="30">
        <v>1543465087</v>
      </c>
      <c r="I82" s="36">
        <v>41.8</v>
      </c>
      <c r="J82" s="39"/>
    </row>
    <row r="83" spans="1:10" ht="15" customHeight="1" x14ac:dyDescent="0.25">
      <c r="A83" s="109"/>
      <c r="B83" s="59">
        <f t="shared" si="5"/>
        <v>12</v>
      </c>
      <c r="C83" s="27">
        <v>45993.059131944443</v>
      </c>
      <c r="D83" s="75" t="s">
        <v>11</v>
      </c>
      <c r="E83" s="34">
        <v>1000</v>
      </c>
      <c r="F83" s="35">
        <v>708.34134907008195</v>
      </c>
      <c r="G83" s="57">
        <v>5.2059999999999997E-3</v>
      </c>
      <c r="H83" s="30">
        <v>1543465087</v>
      </c>
      <c r="I83" s="36">
        <v>50.6</v>
      </c>
      <c r="J83" s="39"/>
    </row>
    <row r="84" spans="1:10" ht="15" customHeight="1" x14ac:dyDescent="0.25">
      <c r="A84" s="109"/>
      <c r="B84" s="59">
        <f t="shared" si="5"/>
        <v>13</v>
      </c>
      <c r="C84" s="27">
        <v>45993.060243055559</v>
      </c>
      <c r="D84" s="75" t="s">
        <v>11</v>
      </c>
      <c r="E84" s="34">
        <v>1500</v>
      </c>
      <c r="F84" s="35">
        <v>1975.4675888337861</v>
      </c>
      <c r="G84" s="57">
        <v>7.7289999999999998E-3</v>
      </c>
      <c r="H84" s="30">
        <v>1543465087</v>
      </c>
      <c r="I84" s="36">
        <v>96.4</v>
      </c>
      <c r="J84" s="39"/>
    </row>
    <row r="85" spans="1:10" ht="15.75" customHeight="1" thickBot="1" x14ac:dyDescent="0.3">
      <c r="A85" s="110"/>
      <c r="B85" s="40">
        <f t="shared" si="5"/>
        <v>14</v>
      </c>
      <c r="C85" s="41">
        <v>45993.062245370369</v>
      </c>
      <c r="D85" s="80" t="s">
        <v>11</v>
      </c>
      <c r="E85" s="43">
        <v>2000</v>
      </c>
      <c r="F85" s="44">
        <v>3667.4288054839089</v>
      </c>
      <c r="G85" s="58">
        <v>1.0043E-2</v>
      </c>
      <c r="H85" s="45">
        <v>1543465087</v>
      </c>
      <c r="I85" s="46">
        <v>172.4</v>
      </c>
      <c r="J85" s="79"/>
    </row>
    <row r="86" spans="1:10" ht="15" customHeight="1" x14ac:dyDescent="0.25">
      <c r="A86" s="108">
        <v>7</v>
      </c>
      <c r="B86" s="48">
        <f>1+0</f>
        <v>1</v>
      </c>
      <c r="C86" s="49">
        <v>45993.070069444453</v>
      </c>
      <c r="D86" s="78" t="s">
        <v>11</v>
      </c>
      <c r="E86" s="51">
        <v>350</v>
      </c>
      <c r="F86" s="52">
        <v>0</v>
      </c>
      <c r="G86" s="56">
        <v>1.8810000000000001E-3</v>
      </c>
      <c r="H86" s="53">
        <v>1544763269</v>
      </c>
      <c r="I86" s="54">
        <v>16</v>
      </c>
      <c r="J86" s="55" t="s">
        <v>341</v>
      </c>
    </row>
    <row r="87" spans="1:10" ht="15" customHeight="1" x14ac:dyDescent="0.25">
      <c r="A87" s="109"/>
      <c r="B87" s="59">
        <f t="shared" ref="B87:B99" si="6">B86+1</f>
        <v>2</v>
      </c>
      <c r="C87" s="27">
        <v>45993.070289351846</v>
      </c>
      <c r="D87" s="75" t="s">
        <v>11</v>
      </c>
      <c r="E87" s="34">
        <v>400</v>
      </c>
      <c r="F87" s="35">
        <v>9.9220533899546517</v>
      </c>
      <c r="G87" s="57">
        <v>2.1510000000000001E-3</v>
      </c>
      <c r="H87" s="30">
        <v>1544763269</v>
      </c>
      <c r="I87" s="36">
        <v>19.3</v>
      </c>
      <c r="J87" s="39"/>
    </row>
    <row r="88" spans="1:10" ht="15" customHeight="1" x14ac:dyDescent="0.25">
      <c r="A88" s="109"/>
      <c r="B88" s="59">
        <f t="shared" si="6"/>
        <v>3</v>
      </c>
      <c r="C88" s="27">
        <v>45993.070532407408</v>
      </c>
      <c r="D88" s="75" t="s">
        <v>11</v>
      </c>
      <c r="E88" s="34">
        <v>450</v>
      </c>
      <c r="F88" s="35">
        <v>9.9220533899546517</v>
      </c>
      <c r="G88" s="57">
        <v>2.408E-3</v>
      </c>
      <c r="H88" s="30">
        <v>1544763269</v>
      </c>
      <c r="I88" s="36">
        <v>21.1</v>
      </c>
      <c r="J88" s="37"/>
    </row>
    <row r="89" spans="1:10" ht="15" customHeight="1" x14ac:dyDescent="0.25">
      <c r="A89" s="109"/>
      <c r="B89" s="59">
        <f t="shared" si="6"/>
        <v>4</v>
      </c>
      <c r="C89" s="27">
        <v>45993.070810185192</v>
      </c>
      <c r="D89" s="75" t="s">
        <v>11</v>
      </c>
      <c r="E89" s="34">
        <v>500</v>
      </c>
      <c r="F89" s="35">
        <v>9.9220533899546517</v>
      </c>
      <c r="G89" s="57">
        <v>2.6979999999999999E-3</v>
      </c>
      <c r="H89" s="30">
        <v>1544763269</v>
      </c>
      <c r="I89" s="36">
        <v>23.6</v>
      </c>
      <c r="J89" s="39"/>
    </row>
    <row r="90" spans="1:10" ht="15" customHeight="1" x14ac:dyDescent="0.25">
      <c r="A90" s="109"/>
      <c r="B90" s="59">
        <f t="shared" si="6"/>
        <v>5</v>
      </c>
      <c r="C90" s="27">
        <v>45993.071099537039</v>
      </c>
      <c r="D90" s="75" t="s">
        <v>11</v>
      </c>
      <c r="E90" s="34">
        <v>550</v>
      </c>
      <c r="F90" s="35">
        <v>28.141923586597109</v>
      </c>
      <c r="G90" s="57">
        <v>2.9009999999999999E-3</v>
      </c>
      <c r="H90" s="30">
        <v>1544763269</v>
      </c>
      <c r="I90" s="36">
        <v>25.5</v>
      </c>
      <c r="J90" s="39"/>
    </row>
    <row r="91" spans="1:10" ht="15" customHeight="1" x14ac:dyDescent="0.25">
      <c r="A91" s="109"/>
      <c r="B91" s="59">
        <f t="shared" si="6"/>
        <v>6</v>
      </c>
      <c r="C91" s="27">
        <v>45993.071435185193</v>
      </c>
      <c r="D91" s="75" t="s">
        <v>11</v>
      </c>
      <c r="E91" s="34">
        <v>600</v>
      </c>
      <c r="F91" s="35">
        <v>155.03363912365219</v>
      </c>
      <c r="G91" s="57">
        <v>3.215E-3</v>
      </c>
      <c r="H91" s="30">
        <v>1544763269</v>
      </c>
      <c r="I91" s="36">
        <v>28.7</v>
      </c>
      <c r="J91" s="39"/>
    </row>
    <row r="92" spans="1:10" ht="15" customHeight="1" x14ac:dyDescent="0.25">
      <c r="A92" s="109"/>
      <c r="B92" s="59">
        <f t="shared" si="6"/>
        <v>7</v>
      </c>
      <c r="C92" s="27">
        <v>45993.071793981479</v>
      </c>
      <c r="D92" s="75" t="s">
        <v>11</v>
      </c>
      <c r="E92" s="34">
        <v>650</v>
      </c>
      <c r="F92" s="35">
        <v>342.10410784252912</v>
      </c>
      <c r="G92" s="57">
        <v>3.434E-3</v>
      </c>
      <c r="H92" s="30">
        <v>1544763269</v>
      </c>
      <c r="I92" s="36">
        <v>30.9</v>
      </c>
      <c r="J92" s="39"/>
    </row>
    <row r="93" spans="1:10" ht="15" customHeight="1" x14ac:dyDescent="0.25">
      <c r="A93" s="109"/>
      <c r="B93" s="59">
        <f t="shared" si="6"/>
        <v>8</v>
      </c>
      <c r="C93" s="27">
        <v>45993.072187500002</v>
      </c>
      <c r="D93" s="75" t="s">
        <v>11</v>
      </c>
      <c r="E93" s="34">
        <v>700</v>
      </c>
      <c r="F93" s="35">
        <v>221.7547617195213</v>
      </c>
      <c r="G93" s="57">
        <v>3.6809999999999998E-3</v>
      </c>
      <c r="H93" s="30">
        <v>1544763269</v>
      </c>
      <c r="I93" s="36">
        <v>33.4</v>
      </c>
      <c r="J93" s="38"/>
    </row>
    <row r="94" spans="1:10" ht="15" customHeight="1" x14ac:dyDescent="0.25">
      <c r="A94" s="109"/>
      <c r="B94" s="59">
        <f t="shared" si="6"/>
        <v>9</v>
      </c>
      <c r="C94" s="27">
        <v>45993.072604166657</v>
      </c>
      <c r="D94" s="75" t="s">
        <v>11</v>
      </c>
      <c r="E94" s="34">
        <v>750</v>
      </c>
      <c r="F94" s="35">
        <v>368.47886234887937</v>
      </c>
      <c r="G94" s="57">
        <v>3.9620000000000002E-3</v>
      </c>
      <c r="H94" s="30">
        <v>1544763269</v>
      </c>
      <c r="I94" s="36">
        <v>36.5</v>
      </c>
      <c r="J94" s="39"/>
    </row>
    <row r="95" spans="1:10" ht="15" customHeight="1" x14ac:dyDescent="0.25">
      <c r="A95" s="109"/>
      <c r="B95" s="59">
        <f t="shared" si="6"/>
        <v>10</v>
      </c>
      <c r="C95" s="27">
        <v>45993.073055555556</v>
      </c>
      <c r="D95" s="75" t="s">
        <v>11</v>
      </c>
      <c r="E95" s="34">
        <v>800</v>
      </c>
      <c r="F95" s="35">
        <v>407.16214000320281</v>
      </c>
      <c r="G95" s="57">
        <v>4.2440000000000004E-3</v>
      </c>
      <c r="H95" s="30">
        <v>1544763269</v>
      </c>
      <c r="I95" s="36">
        <v>39.299999999999997</v>
      </c>
      <c r="J95" s="39"/>
    </row>
    <row r="96" spans="1:10" ht="15" customHeight="1" x14ac:dyDescent="0.25">
      <c r="A96" s="109"/>
      <c r="B96" s="59">
        <f t="shared" si="6"/>
        <v>11</v>
      </c>
      <c r="C96" s="27">
        <v>45993.073541666658</v>
      </c>
      <c r="D96" s="75" t="s">
        <v>11</v>
      </c>
      <c r="E96" s="34">
        <v>850</v>
      </c>
      <c r="F96" s="35">
        <v>349.30593484392108</v>
      </c>
      <c r="G96" s="57">
        <v>4.463E-3</v>
      </c>
      <c r="H96" s="30">
        <v>1544763269</v>
      </c>
      <c r="I96" s="36">
        <v>41.2</v>
      </c>
      <c r="J96" s="39"/>
    </row>
    <row r="97" spans="1:10" ht="15" customHeight="1" x14ac:dyDescent="0.25">
      <c r="A97" s="109"/>
      <c r="B97" s="59">
        <f t="shared" si="6"/>
        <v>12</v>
      </c>
      <c r="C97" s="27">
        <v>45993.074120370373</v>
      </c>
      <c r="D97" s="75" t="s">
        <v>11</v>
      </c>
      <c r="E97" s="34">
        <v>1000</v>
      </c>
      <c r="F97" s="35">
        <v>350.04995251170942</v>
      </c>
      <c r="G97" s="57">
        <v>5.2370000000000003E-3</v>
      </c>
      <c r="H97" s="30">
        <v>1544763269</v>
      </c>
      <c r="I97" s="36">
        <v>50.8</v>
      </c>
      <c r="J97" s="39"/>
    </row>
    <row r="98" spans="1:10" ht="15" customHeight="1" x14ac:dyDescent="0.25">
      <c r="A98" s="109"/>
      <c r="B98" s="59">
        <f t="shared" si="6"/>
        <v>13</v>
      </c>
      <c r="C98" s="27">
        <v>45993.075196759259</v>
      </c>
      <c r="D98" s="75" t="s">
        <v>11</v>
      </c>
      <c r="E98" s="34">
        <v>1500</v>
      </c>
      <c r="F98" s="35">
        <v>1660.591337756189</v>
      </c>
      <c r="G98" s="57">
        <v>7.6360000000000004E-3</v>
      </c>
      <c r="H98" s="30">
        <v>1544763269</v>
      </c>
      <c r="I98" s="36">
        <v>92.2</v>
      </c>
      <c r="J98" s="39"/>
    </row>
    <row r="99" spans="1:10" ht="15.75" customHeight="1" thickBot="1" x14ac:dyDescent="0.3">
      <c r="A99" s="110"/>
      <c r="B99" s="40">
        <f t="shared" si="6"/>
        <v>14</v>
      </c>
      <c r="C99" s="41">
        <v>45993.077094907407</v>
      </c>
      <c r="D99" s="80" t="s">
        <v>11</v>
      </c>
      <c r="E99" s="43">
        <v>2000</v>
      </c>
      <c r="F99" s="44">
        <v>2481.4178493703048</v>
      </c>
      <c r="G99" s="58">
        <v>9.9880000000000004E-3</v>
      </c>
      <c r="H99" s="45">
        <v>1544763269</v>
      </c>
      <c r="I99" s="46">
        <v>164.4</v>
      </c>
      <c r="J99" s="79"/>
    </row>
    <row r="100" spans="1:10" ht="15" customHeight="1" x14ac:dyDescent="0.25">
      <c r="A100" s="108">
        <v>8</v>
      </c>
      <c r="B100" s="48">
        <f>1+0</f>
        <v>1</v>
      </c>
      <c r="C100" s="49">
        <v>45993.084976851853</v>
      </c>
      <c r="D100" s="78" t="s">
        <v>11</v>
      </c>
      <c r="E100" s="51">
        <v>350</v>
      </c>
      <c r="F100" s="52">
        <v>0</v>
      </c>
      <c r="G100" s="56">
        <v>1.9139999999999999E-3</v>
      </c>
      <c r="H100" s="53">
        <v>1546050927</v>
      </c>
      <c r="I100" s="54">
        <v>16.600000000000001</v>
      </c>
      <c r="J100" s="55" t="s">
        <v>341</v>
      </c>
    </row>
    <row r="101" spans="1:10" ht="15" customHeight="1" x14ac:dyDescent="0.25">
      <c r="A101" s="109"/>
      <c r="B101" s="59">
        <f t="shared" ref="B101:B113" si="7">B100+1</f>
        <v>2</v>
      </c>
      <c r="C101" s="27">
        <v>45993.085196759261</v>
      </c>
      <c r="D101" s="75" t="s">
        <v>11</v>
      </c>
      <c r="E101" s="34">
        <v>400</v>
      </c>
      <c r="F101" s="35">
        <v>0</v>
      </c>
      <c r="G101" s="57">
        <v>2.1700000000000001E-3</v>
      </c>
      <c r="H101" s="30">
        <v>1546050927</v>
      </c>
      <c r="I101" s="36">
        <v>18.600000000000001</v>
      </c>
      <c r="J101" s="39" t="s">
        <v>341</v>
      </c>
    </row>
    <row r="102" spans="1:10" ht="15" customHeight="1" x14ac:dyDescent="0.25">
      <c r="A102" s="109"/>
      <c r="B102" s="59">
        <f t="shared" si="7"/>
        <v>3</v>
      </c>
      <c r="C102" s="27">
        <v>45993.085439814808</v>
      </c>
      <c r="D102" s="75" t="s">
        <v>11</v>
      </c>
      <c r="E102" s="34">
        <v>450</v>
      </c>
      <c r="F102" s="35">
        <v>0</v>
      </c>
      <c r="G102" s="57">
        <v>2.4429999999999999E-3</v>
      </c>
      <c r="H102" s="30">
        <v>1546050927</v>
      </c>
      <c r="I102" s="36">
        <v>21.2</v>
      </c>
      <c r="J102" s="37" t="s">
        <v>341</v>
      </c>
    </row>
    <row r="103" spans="1:10" ht="15" customHeight="1" x14ac:dyDescent="0.25">
      <c r="A103" s="109"/>
      <c r="B103" s="59">
        <f t="shared" si="7"/>
        <v>4</v>
      </c>
      <c r="C103" s="27">
        <v>45993.085717592592</v>
      </c>
      <c r="D103" s="75" t="s">
        <v>11</v>
      </c>
      <c r="E103" s="34">
        <v>500</v>
      </c>
      <c r="F103" s="35">
        <v>0</v>
      </c>
      <c r="G103" s="57">
        <v>2.712E-3</v>
      </c>
      <c r="H103" s="30">
        <v>1546050927</v>
      </c>
      <c r="I103" s="36">
        <v>23.6</v>
      </c>
      <c r="J103" s="39" t="s">
        <v>341</v>
      </c>
    </row>
    <row r="104" spans="1:10" ht="15" customHeight="1" x14ac:dyDescent="0.25">
      <c r="A104" s="109"/>
      <c r="B104" s="59">
        <f t="shared" si="7"/>
        <v>5</v>
      </c>
      <c r="C104" s="27">
        <v>45993.086018518523</v>
      </c>
      <c r="D104" s="75" t="s">
        <v>11</v>
      </c>
      <c r="E104" s="34">
        <v>550</v>
      </c>
      <c r="F104" s="35">
        <v>16.036056669413881</v>
      </c>
      <c r="G104" s="57">
        <v>2.9970000000000001E-3</v>
      </c>
      <c r="H104" s="30">
        <v>1546050927</v>
      </c>
      <c r="I104" s="36">
        <v>26.3</v>
      </c>
      <c r="J104" s="39"/>
    </row>
    <row r="105" spans="1:10" ht="15" customHeight="1" x14ac:dyDescent="0.25">
      <c r="A105" s="109"/>
      <c r="B105" s="59">
        <f t="shared" si="7"/>
        <v>6</v>
      </c>
      <c r="C105" s="27">
        <v>45993.086342592593</v>
      </c>
      <c r="D105" s="75" t="s">
        <v>11</v>
      </c>
      <c r="E105" s="34">
        <v>600</v>
      </c>
      <c r="F105" s="35">
        <v>107.1196166872837</v>
      </c>
      <c r="G105" s="57">
        <v>3.2200000000000002E-3</v>
      </c>
      <c r="H105" s="30">
        <v>1546050927</v>
      </c>
      <c r="I105" s="36">
        <v>28.6</v>
      </c>
      <c r="J105" s="39"/>
    </row>
    <row r="106" spans="1:10" ht="15" customHeight="1" x14ac:dyDescent="0.25">
      <c r="A106" s="109"/>
      <c r="B106" s="59">
        <f t="shared" si="7"/>
        <v>7</v>
      </c>
      <c r="C106" s="27">
        <v>45993.086701388893</v>
      </c>
      <c r="D106" s="75" t="s">
        <v>11</v>
      </c>
      <c r="E106" s="34">
        <v>650</v>
      </c>
      <c r="F106" s="35">
        <v>99.471076801565644</v>
      </c>
      <c r="G106" s="57">
        <v>3.4970000000000001E-3</v>
      </c>
      <c r="H106" s="30">
        <v>1546050927</v>
      </c>
      <c r="I106" s="36">
        <v>31</v>
      </c>
      <c r="J106" s="39"/>
    </row>
    <row r="107" spans="1:10" ht="15" customHeight="1" x14ac:dyDescent="0.25">
      <c r="A107" s="109"/>
      <c r="B107" s="59">
        <f t="shared" si="7"/>
        <v>8</v>
      </c>
      <c r="C107" s="27">
        <v>45993.087094907409</v>
      </c>
      <c r="D107" s="75" t="s">
        <v>11</v>
      </c>
      <c r="E107" s="34">
        <v>700</v>
      </c>
      <c r="F107" s="35">
        <v>0</v>
      </c>
      <c r="G107" s="57">
        <v>3.7390000000000001E-3</v>
      </c>
      <c r="H107" s="30">
        <v>1546050927</v>
      </c>
      <c r="I107" s="36">
        <v>33.200000000000003</v>
      </c>
      <c r="J107" s="38" t="s">
        <v>341</v>
      </c>
    </row>
    <row r="108" spans="1:10" ht="15" customHeight="1" x14ac:dyDescent="0.25">
      <c r="A108" s="109"/>
      <c r="B108" s="59">
        <f t="shared" si="7"/>
        <v>9</v>
      </c>
      <c r="C108" s="27">
        <v>45993.087511574071</v>
      </c>
      <c r="D108" s="75" t="s">
        <v>11</v>
      </c>
      <c r="E108" s="34">
        <v>750</v>
      </c>
      <c r="F108" s="35">
        <v>143.31913892599849</v>
      </c>
      <c r="G108" s="57">
        <v>3.9870000000000001E-3</v>
      </c>
      <c r="H108" s="30">
        <v>1546050927</v>
      </c>
      <c r="I108" s="36">
        <v>36</v>
      </c>
      <c r="J108" s="39"/>
    </row>
    <row r="109" spans="1:10" ht="15" customHeight="1" x14ac:dyDescent="0.25">
      <c r="A109" s="109"/>
      <c r="B109" s="59">
        <f t="shared" si="7"/>
        <v>10</v>
      </c>
      <c r="C109" s="27">
        <v>45993.087962962964</v>
      </c>
      <c r="D109" s="75" t="s">
        <v>11</v>
      </c>
      <c r="E109" s="34">
        <v>800</v>
      </c>
      <c r="F109" s="35">
        <v>76.552784041143923</v>
      </c>
      <c r="G109" s="57">
        <v>4.2649999999999997E-3</v>
      </c>
      <c r="H109" s="30">
        <v>1546050927</v>
      </c>
      <c r="I109" s="36">
        <v>39.299999999999997</v>
      </c>
      <c r="J109" s="39"/>
    </row>
    <row r="110" spans="1:10" ht="15" customHeight="1" x14ac:dyDescent="0.25">
      <c r="A110" s="109"/>
      <c r="B110" s="59">
        <f t="shared" si="7"/>
        <v>11</v>
      </c>
      <c r="C110" s="27">
        <v>45993.088449074072</v>
      </c>
      <c r="D110" s="75" t="s">
        <v>11</v>
      </c>
      <c r="E110" s="34">
        <v>850</v>
      </c>
      <c r="F110" s="35">
        <v>425.89878115535652</v>
      </c>
      <c r="G110" s="57">
        <v>4.5129999999999997E-3</v>
      </c>
      <c r="H110" s="30">
        <v>1546050927</v>
      </c>
      <c r="I110" s="36">
        <v>41.5</v>
      </c>
      <c r="J110" s="39"/>
    </row>
    <row r="111" spans="1:10" ht="15" customHeight="1" x14ac:dyDescent="0.25">
      <c r="A111" s="109"/>
      <c r="B111" s="59">
        <f t="shared" si="7"/>
        <v>12</v>
      </c>
      <c r="C111" s="27">
        <v>45993.089039351849</v>
      </c>
      <c r="D111" s="75" t="s">
        <v>11</v>
      </c>
      <c r="E111" s="34">
        <v>1000</v>
      </c>
      <c r="F111" s="35">
        <v>513.33656351267689</v>
      </c>
      <c r="G111" s="57">
        <v>5.2719999999999998E-3</v>
      </c>
      <c r="H111" s="30">
        <v>1546050927</v>
      </c>
      <c r="I111" s="36">
        <v>51.1</v>
      </c>
      <c r="J111" s="39"/>
    </row>
    <row r="112" spans="1:10" ht="15" customHeight="1" x14ac:dyDescent="0.25">
      <c r="A112" s="109"/>
      <c r="B112" s="59">
        <f t="shared" si="7"/>
        <v>13</v>
      </c>
      <c r="C112" s="27">
        <v>45993.090104166673</v>
      </c>
      <c r="D112" s="75" t="s">
        <v>11</v>
      </c>
      <c r="E112" s="34">
        <v>1500</v>
      </c>
      <c r="F112" s="35">
        <v>1687.0523069431681</v>
      </c>
      <c r="G112" s="57">
        <v>7.6649999999999999E-3</v>
      </c>
      <c r="H112" s="30">
        <v>1546050927</v>
      </c>
      <c r="I112" s="36">
        <v>92.5</v>
      </c>
      <c r="J112" s="39"/>
    </row>
    <row r="113" spans="1:10" ht="15.75" customHeight="1" thickBot="1" x14ac:dyDescent="0.3">
      <c r="A113" s="110"/>
      <c r="B113" s="40">
        <f t="shared" si="7"/>
        <v>14</v>
      </c>
      <c r="C113" s="41">
        <v>45993.09202546296</v>
      </c>
      <c r="D113" s="80" t="s">
        <v>11</v>
      </c>
      <c r="E113" s="43">
        <v>2000</v>
      </c>
      <c r="F113" s="44">
        <v>3717.5576582464651</v>
      </c>
      <c r="G113" s="58">
        <v>9.9380000000000007E-3</v>
      </c>
      <c r="H113" s="45">
        <v>1546050927</v>
      </c>
      <c r="I113" s="46">
        <v>165.5</v>
      </c>
      <c r="J113" s="79"/>
    </row>
    <row r="114" spans="1:10" ht="15" customHeight="1" x14ac:dyDescent="0.25">
      <c r="A114" s="108">
        <v>9</v>
      </c>
      <c r="B114" s="48">
        <f>1+0</f>
        <v>1</v>
      </c>
      <c r="C114" s="49">
        <v>45993.099826388891</v>
      </c>
      <c r="D114" s="78" t="s">
        <v>11</v>
      </c>
      <c r="E114" s="51">
        <v>350</v>
      </c>
      <c r="F114" s="52">
        <v>0</v>
      </c>
      <c r="G114" s="56">
        <v>1.872E-3</v>
      </c>
      <c r="H114" s="53">
        <v>1547334458</v>
      </c>
      <c r="I114" s="54">
        <v>16</v>
      </c>
      <c r="J114" s="55" t="s">
        <v>341</v>
      </c>
    </row>
    <row r="115" spans="1:10" ht="15" customHeight="1" x14ac:dyDescent="0.25">
      <c r="A115" s="109"/>
      <c r="B115" s="59">
        <f t="shared" ref="B115:B127" si="8">B114+1</f>
        <v>2</v>
      </c>
      <c r="C115" s="27">
        <v>45993.100046296298</v>
      </c>
      <c r="D115" s="75" t="s">
        <v>11</v>
      </c>
      <c r="E115" s="34">
        <v>400</v>
      </c>
      <c r="F115" s="35">
        <v>0</v>
      </c>
      <c r="G115" s="57">
        <v>2.1410000000000001E-3</v>
      </c>
      <c r="H115" s="30">
        <v>1547334458</v>
      </c>
      <c r="I115" s="36">
        <v>19.100000000000001</v>
      </c>
      <c r="J115" s="39" t="s">
        <v>341</v>
      </c>
    </row>
    <row r="116" spans="1:10" ht="15" customHeight="1" x14ac:dyDescent="0.25">
      <c r="A116" s="109"/>
      <c r="B116" s="59">
        <f t="shared" si="8"/>
        <v>3</v>
      </c>
      <c r="C116" s="27">
        <v>45993.100289351853</v>
      </c>
      <c r="D116" s="75" t="s">
        <v>11</v>
      </c>
      <c r="E116" s="34">
        <v>450</v>
      </c>
      <c r="F116" s="35">
        <v>0</v>
      </c>
      <c r="G116" s="57">
        <v>2.4620000000000002E-3</v>
      </c>
      <c r="H116" s="30">
        <v>1547334458</v>
      </c>
      <c r="I116" s="36">
        <v>21.2</v>
      </c>
      <c r="J116" s="37" t="s">
        <v>341</v>
      </c>
    </row>
    <row r="117" spans="1:10" ht="15" customHeight="1" x14ac:dyDescent="0.25">
      <c r="A117" s="109"/>
      <c r="B117" s="59">
        <f t="shared" si="8"/>
        <v>4</v>
      </c>
      <c r="C117" s="27">
        <v>45993.10056712963</v>
      </c>
      <c r="D117" s="75" t="s">
        <v>11</v>
      </c>
      <c r="E117" s="34">
        <v>500</v>
      </c>
      <c r="F117" s="35">
        <v>0</v>
      </c>
      <c r="G117" s="57">
        <v>2.6849999999999999E-3</v>
      </c>
      <c r="H117" s="30">
        <v>1547334458</v>
      </c>
      <c r="I117" s="36">
        <v>23.4</v>
      </c>
      <c r="J117" s="39" t="s">
        <v>341</v>
      </c>
    </row>
    <row r="118" spans="1:10" ht="15" customHeight="1" x14ac:dyDescent="0.25">
      <c r="A118" s="109"/>
      <c r="B118" s="59">
        <f t="shared" si="8"/>
        <v>5</v>
      </c>
      <c r="C118" s="27">
        <v>45993.100868055553</v>
      </c>
      <c r="D118" s="75" t="s">
        <v>11</v>
      </c>
      <c r="E118" s="34">
        <v>550</v>
      </c>
      <c r="F118" s="35">
        <v>0</v>
      </c>
      <c r="G118" s="57">
        <v>2.9420000000000002E-3</v>
      </c>
      <c r="H118" s="30">
        <v>1547334458</v>
      </c>
      <c r="I118" s="36">
        <v>25.8</v>
      </c>
      <c r="J118" s="39" t="s">
        <v>341</v>
      </c>
    </row>
    <row r="119" spans="1:10" ht="15" customHeight="1" x14ac:dyDescent="0.25">
      <c r="A119" s="109"/>
      <c r="B119" s="59">
        <f t="shared" si="8"/>
        <v>6</v>
      </c>
      <c r="C119" s="27">
        <v>45993.10119212963</v>
      </c>
      <c r="D119" s="75" t="s">
        <v>11</v>
      </c>
      <c r="E119" s="34">
        <v>600</v>
      </c>
      <c r="F119" s="35">
        <v>0</v>
      </c>
      <c r="G119" s="57">
        <v>3.2339999999999999E-3</v>
      </c>
      <c r="H119" s="30">
        <v>1547334458</v>
      </c>
      <c r="I119" s="36">
        <v>28.3</v>
      </c>
      <c r="J119" s="39" t="s">
        <v>341</v>
      </c>
    </row>
    <row r="120" spans="1:10" ht="15" customHeight="1" x14ac:dyDescent="0.25">
      <c r="A120" s="109"/>
      <c r="B120" s="59">
        <f t="shared" si="8"/>
        <v>7</v>
      </c>
      <c r="C120" s="27">
        <v>45993.101550925923</v>
      </c>
      <c r="D120" s="75" t="s">
        <v>11</v>
      </c>
      <c r="E120" s="34">
        <v>650</v>
      </c>
      <c r="F120" s="35">
        <v>3.799992087072527</v>
      </c>
      <c r="G120" s="57">
        <v>3.4740000000000001E-3</v>
      </c>
      <c r="H120" s="30">
        <v>1547334458</v>
      </c>
      <c r="I120" s="36">
        <v>30.9</v>
      </c>
      <c r="J120" s="39"/>
    </row>
    <row r="121" spans="1:10" ht="15" customHeight="1" x14ac:dyDescent="0.25">
      <c r="A121" s="109"/>
      <c r="B121" s="59">
        <f t="shared" si="8"/>
        <v>8</v>
      </c>
      <c r="C121" s="27">
        <v>45993.10193287037</v>
      </c>
      <c r="D121" s="75" t="s">
        <v>11</v>
      </c>
      <c r="E121" s="34">
        <v>700</v>
      </c>
      <c r="F121" s="35">
        <v>112.914358468091</v>
      </c>
      <c r="G121" s="57">
        <v>3.7100000000000002E-3</v>
      </c>
      <c r="H121" s="30">
        <v>1547334458</v>
      </c>
      <c r="I121" s="36">
        <v>33.1</v>
      </c>
      <c r="J121" s="38"/>
    </row>
    <row r="122" spans="1:10" ht="15" customHeight="1" x14ac:dyDescent="0.25">
      <c r="A122" s="109"/>
      <c r="B122" s="59">
        <f t="shared" si="8"/>
        <v>9</v>
      </c>
      <c r="C122" s="27">
        <v>45993.102361111109</v>
      </c>
      <c r="D122" s="75" t="s">
        <v>11</v>
      </c>
      <c r="E122" s="34">
        <v>750</v>
      </c>
      <c r="F122" s="35">
        <v>41.761761192014689</v>
      </c>
      <c r="G122" s="57">
        <v>4.0410000000000003E-3</v>
      </c>
      <c r="H122" s="30">
        <v>1547334458</v>
      </c>
      <c r="I122" s="36">
        <v>37</v>
      </c>
      <c r="J122" s="39"/>
    </row>
    <row r="123" spans="1:10" ht="15" customHeight="1" x14ac:dyDescent="0.25">
      <c r="A123" s="109"/>
      <c r="B123" s="59">
        <f t="shared" si="8"/>
        <v>10</v>
      </c>
      <c r="C123" s="27">
        <v>45993.102812500001</v>
      </c>
      <c r="D123" s="75" t="s">
        <v>11</v>
      </c>
      <c r="E123" s="34">
        <v>800</v>
      </c>
      <c r="F123" s="35">
        <v>250.2637010278836</v>
      </c>
      <c r="G123" s="57">
        <v>4.287E-3</v>
      </c>
      <c r="H123" s="30">
        <v>1547334458</v>
      </c>
      <c r="I123" s="36">
        <v>39.200000000000003</v>
      </c>
      <c r="J123" s="39"/>
    </row>
    <row r="124" spans="1:10" ht="15" customHeight="1" x14ac:dyDescent="0.25">
      <c r="A124" s="109"/>
      <c r="B124" s="59">
        <f t="shared" si="8"/>
        <v>11</v>
      </c>
      <c r="C124" s="27">
        <v>45993.103310185194</v>
      </c>
      <c r="D124" s="75" t="s">
        <v>11</v>
      </c>
      <c r="E124" s="34">
        <v>850</v>
      </c>
      <c r="F124" s="35">
        <v>160.51056455476501</v>
      </c>
      <c r="G124" s="57">
        <v>4.555E-3</v>
      </c>
      <c r="H124" s="30">
        <v>1547334458</v>
      </c>
      <c r="I124" s="36">
        <v>42.7</v>
      </c>
      <c r="J124" s="39"/>
    </row>
    <row r="125" spans="1:10" ht="15" customHeight="1" x14ac:dyDescent="0.25">
      <c r="A125" s="109"/>
      <c r="B125" s="59">
        <f t="shared" si="8"/>
        <v>12</v>
      </c>
      <c r="C125" s="27">
        <v>45993.103900462957</v>
      </c>
      <c r="D125" s="75" t="s">
        <v>11</v>
      </c>
      <c r="E125" s="34">
        <v>1000</v>
      </c>
      <c r="F125" s="35">
        <v>440.27618228886519</v>
      </c>
      <c r="G125" s="57">
        <v>5.3080000000000002E-3</v>
      </c>
      <c r="H125" s="30">
        <v>1547334458</v>
      </c>
      <c r="I125" s="36">
        <v>51.4</v>
      </c>
      <c r="J125" s="39"/>
    </row>
    <row r="126" spans="1:10" ht="15" customHeight="1" x14ac:dyDescent="0.25">
      <c r="A126" s="109"/>
      <c r="B126" s="59">
        <f t="shared" si="8"/>
        <v>13</v>
      </c>
      <c r="C126" s="27">
        <v>45993.104988425926</v>
      </c>
      <c r="D126" s="75" t="s">
        <v>11</v>
      </c>
      <c r="E126" s="34">
        <v>1500</v>
      </c>
      <c r="F126" s="35">
        <v>1500.5210925332831</v>
      </c>
      <c r="G126" s="57">
        <v>7.6559999999999996E-3</v>
      </c>
      <c r="H126" s="30">
        <v>1547334458</v>
      </c>
      <c r="I126" s="36">
        <v>93.5</v>
      </c>
      <c r="J126" s="39"/>
    </row>
    <row r="127" spans="1:10" ht="15.75" customHeight="1" thickBot="1" x14ac:dyDescent="0.3">
      <c r="A127" s="110"/>
      <c r="B127" s="40">
        <f t="shared" si="8"/>
        <v>14</v>
      </c>
      <c r="C127" s="41">
        <v>45993.106979166667</v>
      </c>
      <c r="D127" s="80" t="s">
        <v>11</v>
      </c>
      <c r="E127" s="43">
        <v>2000</v>
      </c>
      <c r="F127" s="44">
        <v>4272.5991424108533</v>
      </c>
      <c r="G127" s="58">
        <v>1.0094000000000001E-2</v>
      </c>
      <c r="H127" s="45">
        <v>1547334458</v>
      </c>
      <c r="I127" s="46">
        <v>172.1</v>
      </c>
      <c r="J127" s="79"/>
    </row>
    <row r="128" spans="1:10" ht="15" customHeight="1" x14ac:dyDescent="0.25">
      <c r="A128" s="108">
        <v>10</v>
      </c>
      <c r="B128" s="48">
        <f>1+0</f>
        <v>1</v>
      </c>
      <c r="C128" s="49">
        <v>45993.11482638889</v>
      </c>
      <c r="D128" s="78" t="s">
        <v>11</v>
      </c>
      <c r="E128" s="51">
        <v>350</v>
      </c>
      <c r="F128" s="52">
        <v>11.58600624029779</v>
      </c>
      <c r="G128" s="56">
        <v>1.9109999999999999E-3</v>
      </c>
      <c r="H128" s="53">
        <v>1548629780</v>
      </c>
      <c r="I128" s="54">
        <v>16.899999999999999</v>
      </c>
      <c r="J128" s="55"/>
    </row>
    <row r="129" spans="1:10" ht="15" customHeight="1" x14ac:dyDescent="0.25">
      <c r="A129" s="109"/>
      <c r="B129" s="59">
        <f t="shared" ref="B129:B141" si="9">B128+1</f>
        <v>2</v>
      </c>
      <c r="C129" s="27">
        <v>45993.115046296298</v>
      </c>
      <c r="D129" s="75" t="s">
        <v>11</v>
      </c>
      <c r="E129" s="34">
        <v>400</v>
      </c>
      <c r="F129" s="35">
        <v>0</v>
      </c>
      <c r="G129" s="57">
        <v>2.186E-3</v>
      </c>
      <c r="H129" s="30">
        <v>1548629780</v>
      </c>
      <c r="I129" s="36">
        <v>18.7</v>
      </c>
      <c r="J129" s="39" t="s">
        <v>341</v>
      </c>
    </row>
    <row r="130" spans="1:10" ht="15" customHeight="1" x14ac:dyDescent="0.25">
      <c r="A130" s="109"/>
      <c r="B130" s="59">
        <f t="shared" si="9"/>
        <v>3</v>
      </c>
      <c r="C130" s="27">
        <v>45993.115289351852</v>
      </c>
      <c r="D130" s="75" t="s">
        <v>11</v>
      </c>
      <c r="E130" s="34">
        <v>450</v>
      </c>
      <c r="F130" s="35">
        <v>0</v>
      </c>
      <c r="G130" s="57">
        <v>2.4399999999999999E-3</v>
      </c>
      <c r="H130" s="30">
        <v>1548629780</v>
      </c>
      <c r="I130" s="36">
        <v>21.1</v>
      </c>
      <c r="J130" s="37" t="s">
        <v>341</v>
      </c>
    </row>
    <row r="131" spans="1:10" ht="15" customHeight="1" x14ac:dyDescent="0.25">
      <c r="A131" s="109"/>
      <c r="B131" s="59">
        <f t="shared" si="9"/>
        <v>4</v>
      </c>
      <c r="C131" s="27">
        <v>45993.115567129629</v>
      </c>
      <c r="D131" s="75" t="s">
        <v>11</v>
      </c>
      <c r="E131" s="34">
        <v>500</v>
      </c>
      <c r="F131" s="35">
        <v>11.62402574771402</v>
      </c>
      <c r="G131" s="57">
        <v>2.6689999999999999E-3</v>
      </c>
      <c r="H131" s="30">
        <v>1548629780</v>
      </c>
      <c r="I131" s="36">
        <v>23.5</v>
      </c>
      <c r="J131" s="39"/>
    </row>
    <row r="132" spans="1:10" ht="15" customHeight="1" x14ac:dyDescent="0.25">
      <c r="A132" s="109"/>
      <c r="B132" s="59">
        <f t="shared" si="9"/>
        <v>5</v>
      </c>
      <c r="C132" s="27">
        <v>45993.115868055553</v>
      </c>
      <c r="D132" s="75" t="s">
        <v>11</v>
      </c>
      <c r="E132" s="34">
        <v>550</v>
      </c>
      <c r="F132" s="35">
        <v>25.58664738161195</v>
      </c>
      <c r="G132" s="57">
        <v>2.9329999999999998E-3</v>
      </c>
      <c r="H132" s="30">
        <v>1548629780</v>
      </c>
      <c r="I132" s="36">
        <v>26</v>
      </c>
      <c r="J132" s="39"/>
    </row>
    <row r="133" spans="1:10" ht="15" customHeight="1" x14ac:dyDescent="0.25">
      <c r="A133" s="109"/>
      <c r="B133" s="59">
        <f t="shared" si="9"/>
        <v>6</v>
      </c>
      <c r="C133" s="27">
        <v>45993.11619212963</v>
      </c>
      <c r="D133" s="75" t="s">
        <v>11</v>
      </c>
      <c r="E133" s="34">
        <v>600</v>
      </c>
      <c r="F133" s="35">
        <v>9.7926112327538064</v>
      </c>
      <c r="G133" s="57">
        <v>3.2460000000000002E-3</v>
      </c>
      <c r="H133" s="30">
        <v>1548629780</v>
      </c>
      <c r="I133" s="36">
        <v>28.6</v>
      </c>
      <c r="J133" s="39"/>
    </row>
    <row r="134" spans="1:10" ht="15" customHeight="1" x14ac:dyDescent="0.25">
      <c r="A134" s="109"/>
      <c r="B134" s="59">
        <f t="shared" si="9"/>
        <v>7</v>
      </c>
      <c r="C134" s="27">
        <v>45993.116562499999</v>
      </c>
      <c r="D134" s="75" t="s">
        <v>11</v>
      </c>
      <c r="E134" s="34">
        <v>650</v>
      </c>
      <c r="F134" s="35">
        <v>26.61199700663003</v>
      </c>
      <c r="G134" s="57">
        <v>3.5100000000000001E-3</v>
      </c>
      <c r="H134" s="30">
        <v>1548629780</v>
      </c>
      <c r="I134" s="36">
        <v>31.7</v>
      </c>
      <c r="J134" s="39"/>
    </row>
    <row r="135" spans="1:10" ht="15" customHeight="1" x14ac:dyDescent="0.25">
      <c r="A135" s="109"/>
      <c r="B135" s="59">
        <f t="shared" si="9"/>
        <v>8</v>
      </c>
      <c r="C135" s="27">
        <v>45993.116956018523</v>
      </c>
      <c r="D135" s="75" t="s">
        <v>11</v>
      </c>
      <c r="E135" s="34">
        <v>700</v>
      </c>
      <c r="F135" s="35">
        <v>26.612317617202109</v>
      </c>
      <c r="G135" s="57">
        <v>3.7720000000000002E-3</v>
      </c>
      <c r="H135" s="30">
        <v>1548629780</v>
      </c>
      <c r="I135" s="36">
        <v>34.200000000000003</v>
      </c>
      <c r="J135" s="38"/>
    </row>
    <row r="136" spans="1:10" ht="15" customHeight="1" x14ac:dyDescent="0.25">
      <c r="A136" s="109"/>
      <c r="B136" s="59">
        <f t="shared" si="9"/>
        <v>9</v>
      </c>
      <c r="C136" s="27">
        <v>45993.117384259262</v>
      </c>
      <c r="D136" s="75" t="s">
        <v>11</v>
      </c>
      <c r="E136" s="34">
        <v>750</v>
      </c>
      <c r="F136" s="35">
        <v>135.02862669223151</v>
      </c>
      <c r="G136" s="57">
        <v>3.9659999999999999E-3</v>
      </c>
      <c r="H136" s="30">
        <v>1548629780</v>
      </c>
      <c r="I136" s="36">
        <v>36.5</v>
      </c>
      <c r="J136" s="39"/>
    </row>
    <row r="137" spans="1:10" ht="15" customHeight="1" x14ac:dyDescent="0.25">
      <c r="A137" s="109"/>
      <c r="B137" s="59">
        <f t="shared" si="9"/>
        <v>10</v>
      </c>
      <c r="C137" s="27">
        <v>45993.117835648147</v>
      </c>
      <c r="D137" s="75" t="s">
        <v>11</v>
      </c>
      <c r="E137" s="34">
        <v>800</v>
      </c>
      <c r="F137" s="35">
        <v>134.35363066065881</v>
      </c>
      <c r="G137" s="57">
        <v>4.2290000000000001E-3</v>
      </c>
      <c r="H137" s="30">
        <v>1548629780</v>
      </c>
      <c r="I137" s="36">
        <v>39.4</v>
      </c>
      <c r="J137" s="39"/>
    </row>
    <row r="138" spans="1:10" ht="15" customHeight="1" x14ac:dyDescent="0.25">
      <c r="A138" s="109"/>
      <c r="B138" s="59">
        <f t="shared" si="9"/>
        <v>11</v>
      </c>
      <c r="C138" s="27">
        <v>45993.118321759262</v>
      </c>
      <c r="D138" s="75" t="s">
        <v>11</v>
      </c>
      <c r="E138" s="34">
        <v>850</v>
      </c>
      <c r="F138" s="35">
        <v>174.690579569043</v>
      </c>
      <c r="G138" s="57">
        <v>4.4739999999999997E-3</v>
      </c>
      <c r="H138" s="30">
        <v>1548629780</v>
      </c>
      <c r="I138" s="36">
        <v>41.5</v>
      </c>
      <c r="J138" s="39"/>
    </row>
    <row r="139" spans="1:10" ht="15" customHeight="1" x14ac:dyDescent="0.25">
      <c r="A139" s="109"/>
      <c r="B139" s="59">
        <f t="shared" si="9"/>
        <v>12</v>
      </c>
      <c r="C139" s="27">
        <v>45993.118923611109</v>
      </c>
      <c r="D139" s="75" t="s">
        <v>11</v>
      </c>
      <c r="E139" s="34">
        <v>1000</v>
      </c>
      <c r="F139" s="35">
        <v>224.6780210881148</v>
      </c>
      <c r="G139" s="57">
        <v>5.2919999999999998E-3</v>
      </c>
      <c r="H139" s="30">
        <v>1548629780</v>
      </c>
      <c r="I139" s="36">
        <v>51.7</v>
      </c>
      <c r="J139" s="39"/>
    </row>
    <row r="140" spans="1:10" ht="15" customHeight="1" x14ac:dyDescent="0.25">
      <c r="A140" s="109"/>
      <c r="B140" s="59">
        <f t="shared" si="9"/>
        <v>13</v>
      </c>
      <c r="C140" s="27">
        <v>45993.119988425933</v>
      </c>
      <c r="D140" s="75" t="s">
        <v>11</v>
      </c>
      <c r="E140" s="34">
        <v>1500</v>
      </c>
      <c r="F140" s="35">
        <v>1790.9087734088439</v>
      </c>
      <c r="G140" s="57">
        <v>7.6569999999999997E-3</v>
      </c>
      <c r="H140" s="30">
        <v>1548629780</v>
      </c>
      <c r="I140" s="36">
        <v>92.6</v>
      </c>
      <c r="J140" s="39"/>
    </row>
    <row r="141" spans="1:10" ht="15.75" customHeight="1" thickBot="1" x14ac:dyDescent="0.3">
      <c r="A141" s="110"/>
      <c r="B141" s="40">
        <f t="shared" si="9"/>
        <v>14</v>
      </c>
      <c r="C141" s="41">
        <v>45993.121967592589</v>
      </c>
      <c r="D141" s="80" t="s">
        <v>11</v>
      </c>
      <c r="E141" s="43">
        <v>2000</v>
      </c>
      <c r="F141" s="44">
        <v>3795.5277989374799</v>
      </c>
      <c r="G141" s="58">
        <v>1.0083E-2</v>
      </c>
      <c r="H141" s="45">
        <v>1548629780</v>
      </c>
      <c r="I141" s="46">
        <v>170.8</v>
      </c>
      <c r="J141" s="79"/>
    </row>
    <row r="145" spans="1:17" ht="16.5" thickBot="1" x14ac:dyDescent="0.3">
      <c r="A145" s="107" t="s">
        <v>342</v>
      </c>
      <c r="B145" s="107"/>
      <c r="C145" s="107"/>
      <c r="D145" s="107"/>
      <c r="E145" s="107"/>
      <c r="F145" s="107"/>
      <c r="G145" s="107"/>
      <c r="I145" s="23" t="s">
        <v>428</v>
      </c>
    </row>
    <row r="146" spans="1:17" ht="37.5" customHeight="1" x14ac:dyDescent="0.25">
      <c r="A146" s="87" t="s">
        <v>343</v>
      </c>
      <c r="B146" s="88" t="s">
        <v>344</v>
      </c>
      <c r="C146" s="89" t="s">
        <v>345</v>
      </c>
      <c r="D146" s="89" t="s">
        <v>346</v>
      </c>
      <c r="E146" s="89" t="s">
        <v>347</v>
      </c>
      <c r="F146" s="89" t="s">
        <v>348</v>
      </c>
      <c r="G146" s="90" t="s">
        <v>349</v>
      </c>
      <c r="I146" s="87" t="s">
        <v>426</v>
      </c>
      <c r="J146" s="88" t="s">
        <v>427</v>
      </c>
      <c r="K146" s="89" t="s">
        <v>425</v>
      </c>
      <c r="L146" s="89" t="s">
        <v>424</v>
      </c>
      <c r="M146" s="89" t="s">
        <v>422</v>
      </c>
      <c r="N146" s="90" t="s">
        <v>423</v>
      </c>
    </row>
    <row r="147" spans="1:17" x14ac:dyDescent="0.25">
      <c r="A147" s="91">
        <v>350</v>
      </c>
      <c r="B147" s="76">
        <f>AVERAGE(F16,F2,F30,F44,F58,F72,F86,F100,F114,F128)</f>
        <v>4.801067165136514</v>
      </c>
      <c r="C147" s="77">
        <f>_xlfn.STDEV.S(F16,F2,F30,F44,F58,F72,F86,F100,F114,F128)</f>
        <v>11.692777123159342</v>
      </c>
      <c r="D147" s="77">
        <f>IF(B147&gt;1, C147/B147*100, 0)</f>
        <v>243.54537691261123</v>
      </c>
      <c r="E147" s="92">
        <f>AVERAGE(G16,G2,G30,G44,G58,G72,G86,G100,G114,G128)</f>
        <v>1.9137999999999998E-3</v>
      </c>
      <c r="F147" s="92">
        <f>_xlfn.STDEV.S(G16,G2,G30,G44,G58,G72,G86,G100,G114,G128)*100%</f>
        <v>3.244071515857811E-5</v>
      </c>
      <c r="G147" s="39" t="str">
        <f>10 - COUNTA(J16,J2,J30,J44,J58,J72,J86,J100,J114,J128) &amp; "/" &amp; 10</f>
        <v>2/10</v>
      </c>
      <c r="I147" s="96">
        <f>(E147)</f>
        <v>1.9137999999999998E-3</v>
      </c>
      <c r="J147" s="76" cm="1">
        <f t="array" ref="J147:J160">LOG10(B147:B160)</f>
        <v>0.68133778162926328</v>
      </c>
      <c r="K147" s="76">
        <f>(LOG10(B147+C147) -LOG10(B147))</f>
        <v>0.53598410861888157</v>
      </c>
      <c r="L147" s="92">
        <f>F147</f>
        <v>3.244071515857811E-5</v>
      </c>
      <c r="M147" s="77"/>
      <c r="N147" s="39"/>
    </row>
    <row r="148" spans="1:17" x14ac:dyDescent="0.25">
      <c r="A148" s="91">
        <v>400</v>
      </c>
      <c r="B148" s="76">
        <f>AVERAGE(F17,F3,F31,F45,F59,F73,F87,F101,F115,F129)</f>
        <v>41.188446113071457</v>
      </c>
      <c r="C148" s="77">
        <f t="shared" ref="C148:C160" si="10">_xlfn.STDEV.S(F17,F3,F31,F45,F59,F73,F87,F101,F115,F129)</f>
        <v>84.797633548894851</v>
      </c>
      <c r="D148" s="77">
        <f t="shared" ref="D148:D160" si="11">IF(B148&gt;1, C148/B148*100, 0)</f>
        <v>205.87723391192392</v>
      </c>
      <c r="E148" s="92">
        <f t="shared" ref="E148:E160" si="12">AVERAGE(G17,G3,G31,G45,G59,G73,G87,G101,G115,G129)</f>
        <v>2.1817E-3</v>
      </c>
      <c r="F148" s="92">
        <f>_xlfn.STDEV.S(G17,G3,G31,G45,G59,G73,G87,G101,G115,G129)*100%</f>
        <v>3.8099431316840678E-5</v>
      </c>
      <c r="G148" s="39" t="str">
        <f t="shared" ref="G148:G160" si="13">10 - COUNTA(J17,J3,J31,J45,J59,J73,J87,J101,J115,J129) &amp; "/" &amp; 10</f>
        <v>3/10</v>
      </c>
      <c r="I148" s="96">
        <f t="shared" ref="I148:I160" si="14">(E148)</f>
        <v>2.1817E-3</v>
      </c>
      <c r="J148" s="77">
        <v>1.6147754079494232</v>
      </c>
      <c r="K148" s="76">
        <f t="shared" ref="K148:K160" si="15">LOG10(B148+C148) -LOG10(B148)</f>
        <v>0.48554715415250249</v>
      </c>
      <c r="L148" s="92">
        <f t="shared" ref="L148:L160" si="16">F148</f>
        <v>3.8099431316840678E-5</v>
      </c>
      <c r="M148" s="77"/>
      <c r="N148" s="39"/>
    </row>
    <row r="149" spans="1:17" x14ac:dyDescent="0.25">
      <c r="A149" s="91">
        <v>450</v>
      </c>
      <c r="B149" s="76">
        <f t="shared" ref="B149:B160" si="17">AVERAGE(F18,F4,F32,F46,F60,F74,F88,F102,F116,F130)</f>
        <v>27.17631570146575</v>
      </c>
      <c r="C149" s="77">
        <f t="shared" si="10"/>
        <v>69.277164651060403</v>
      </c>
      <c r="D149" s="77">
        <f t="shared" si="11"/>
        <v>254.91742667430063</v>
      </c>
      <c r="E149" s="92">
        <f t="shared" si="12"/>
        <v>2.4477000000000001E-3</v>
      </c>
      <c r="F149" s="92">
        <f t="shared" ref="F149:F159" si="18">_xlfn.STDEV.S(G18,G4,G32,G46,G60,G74,G88,G102,G116,G130)*100%</f>
        <v>2.3939971224339924E-5</v>
      </c>
      <c r="G149" s="39" t="str">
        <f t="shared" si="13"/>
        <v>3/10</v>
      </c>
      <c r="I149" s="96">
        <f t="shared" si="14"/>
        <v>2.4477000000000001E-3</v>
      </c>
      <c r="J149" s="77">
        <v>1.4341905789976841</v>
      </c>
      <c r="K149" s="76">
        <f t="shared" si="15"/>
        <v>0.55012732400997444</v>
      </c>
      <c r="L149" s="92">
        <f t="shared" si="16"/>
        <v>2.3939971224339924E-5</v>
      </c>
      <c r="M149" s="77"/>
      <c r="N149" s="39"/>
    </row>
    <row r="150" spans="1:17" x14ac:dyDescent="0.25">
      <c r="A150" s="91">
        <v>500</v>
      </c>
      <c r="B150" s="76">
        <f t="shared" si="17"/>
        <v>28.758548884298836</v>
      </c>
      <c r="C150" s="77">
        <f t="shared" si="10"/>
        <v>68.705626451803269</v>
      </c>
      <c r="D150" s="77">
        <f t="shared" si="11"/>
        <v>238.90505299213532</v>
      </c>
      <c r="E150" s="92">
        <f t="shared" si="12"/>
        <v>2.7087999999999999E-3</v>
      </c>
      <c r="F150" s="92">
        <f t="shared" si="18"/>
        <v>2.3971279111099275E-5</v>
      </c>
      <c r="G150" s="39" t="str">
        <f t="shared" si="13"/>
        <v>6/10</v>
      </c>
      <c r="I150" s="96">
        <f t="shared" si="14"/>
        <v>2.7087999999999999E-3</v>
      </c>
      <c r="J150" s="77">
        <v>1.4587669683783993</v>
      </c>
      <c r="K150" s="76">
        <f t="shared" si="15"/>
        <v>0.53007804411103332</v>
      </c>
      <c r="L150" s="92">
        <f t="shared" si="16"/>
        <v>2.3971279111099275E-5</v>
      </c>
      <c r="M150" s="77"/>
      <c r="N150" s="39"/>
    </row>
    <row r="151" spans="1:17" x14ac:dyDescent="0.25">
      <c r="A151" s="91">
        <v>550</v>
      </c>
      <c r="B151" s="76">
        <f t="shared" si="17"/>
        <v>61.88382050972622</v>
      </c>
      <c r="C151" s="77">
        <f t="shared" si="10"/>
        <v>73.820464970624897</v>
      </c>
      <c r="D151" s="77">
        <f t="shared" si="11"/>
        <v>119.28879691424774</v>
      </c>
      <c r="E151" s="92">
        <f t="shared" si="12"/>
        <v>2.9716E-3</v>
      </c>
      <c r="F151" s="92">
        <f t="shared" si="18"/>
        <v>3.9183896919241956E-5</v>
      </c>
      <c r="G151" s="39" t="str">
        <f t="shared" si="13"/>
        <v>9/10</v>
      </c>
      <c r="I151" s="96">
        <f t="shared" si="14"/>
        <v>2.9716E-3</v>
      </c>
      <c r="J151" s="77">
        <v>1.791577117811322</v>
      </c>
      <c r="K151" s="76">
        <f t="shared" si="15"/>
        <v>0.34101644488954386</v>
      </c>
      <c r="L151" s="92">
        <f t="shared" si="16"/>
        <v>3.9183896919241956E-5</v>
      </c>
      <c r="M151" s="77"/>
      <c r="N151" s="39"/>
    </row>
    <row r="152" spans="1:17" x14ac:dyDescent="0.25">
      <c r="A152" s="91">
        <v>600</v>
      </c>
      <c r="B152" s="76">
        <f t="shared" si="17"/>
        <v>86.884997373190146</v>
      </c>
      <c r="C152" s="77">
        <f t="shared" si="10"/>
        <v>89.072146590570014</v>
      </c>
      <c r="D152" s="77">
        <f t="shared" si="11"/>
        <v>102.51729214882242</v>
      </c>
      <c r="E152" s="92">
        <f t="shared" si="12"/>
        <v>3.2335000000000003E-3</v>
      </c>
      <c r="F152" s="92">
        <f t="shared" si="18"/>
        <v>2.3642005931063564E-5</v>
      </c>
      <c r="G152" s="39" t="str">
        <f t="shared" si="13"/>
        <v>7/10</v>
      </c>
      <c r="I152" s="96">
        <f t="shared" si="14"/>
        <v>3.2335000000000003E-3</v>
      </c>
      <c r="J152" s="77">
        <v>1.9389447923228531</v>
      </c>
      <c r="K152" s="76">
        <f t="shared" si="15"/>
        <v>0.30646211181826755</v>
      </c>
      <c r="L152" s="92">
        <f t="shared" si="16"/>
        <v>2.3642005931063564E-5</v>
      </c>
      <c r="M152" s="77"/>
      <c r="N152" s="39"/>
    </row>
    <row r="153" spans="1:17" x14ac:dyDescent="0.25">
      <c r="A153" s="91">
        <v>650</v>
      </c>
      <c r="B153" s="76">
        <f t="shared" si="17"/>
        <v>127.02296375571925</v>
      </c>
      <c r="C153" s="77">
        <f t="shared" si="10"/>
        <v>143.1781559001044</v>
      </c>
      <c r="D153" s="77">
        <f t="shared" si="11"/>
        <v>112.7183240468657</v>
      </c>
      <c r="E153" s="92">
        <f t="shared" si="12"/>
        <v>3.4881000000000001E-3</v>
      </c>
      <c r="F153" s="92">
        <f t="shared" si="18"/>
        <v>3.5110777072953904E-5</v>
      </c>
      <c r="G153" s="39" t="str">
        <f t="shared" si="13"/>
        <v>9/10</v>
      </c>
      <c r="I153" s="96">
        <f t="shared" si="14"/>
        <v>3.4881000000000001E-3</v>
      </c>
      <c r="J153" s="77">
        <v>2.103882241671347</v>
      </c>
      <c r="K153" s="76">
        <f t="shared" si="15"/>
        <v>0.3278049026421197</v>
      </c>
      <c r="L153" s="92">
        <f t="shared" si="16"/>
        <v>3.5110777072953904E-5</v>
      </c>
      <c r="M153" s="77"/>
      <c r="N153" s="39"/>
    </row>
    <row r="154" spans="1:17" x14ac:dyDescent="0.25">
      <c r="A154" s="91">
        <v>700</v>
      </c>
      <c r="B154" s="76">
        <f t="shared" si="17"/>
        <v>91.191557036450121</v>
      </c>
      <c r="C154" s="77">
        <f t="shared" si="10"/>
        <v>99.6799051584876</v>
      </c>
      <c r="D154" s="77">
        <f t="shared" si="11"/>
        <v>109.30826098149042</v>
      </c>
      <c r="E154" s="92">
        <f t="shared" si="12"/>
        <v>3.7388999999999999E-3</v>
      </c>
      <c r="F154" s="92">
        <f t="shared" si="18"/>
        <v>3.0830900804946411E-5</v>
      </c>
      <c r="G154" s="39" t="str">
        <f t="shared" si="13"/>
        <v>8/10</v>
      </c>
      <c r="I154" s="96">
        <f t="shared" si="14"/>
        <v>3.7388999999999999E-3</v>
      </c>
      <c r="J154" s="77">
        <v>1.9599546310672598</v>
      </c>
      <c r="K154" s="76">
        <f t="shared" si="15"/>
        <v>0.32078636941788274</v>
      </c>
      <c r="L154" s="92">
        <f t="shared" si="16"/>
        <v>3.0830900804946411E-5</v>
      </c>
      <c r="M154" s="77"/>
      <c r="N154" s="39"/>
    </row>
    <row r="155" spans="1:17" ht="15.75" thickBot="1" x14ac:dyDescent="0.3">
      <c r="A155" s="91">
        <v>750</v>
      </c>
      <c r="B155" s="76">
        <f t="shared" si="17"/>
        <v>172.44081418204911</v>
      </c>
      <c r="C155" s="77">
        <f t="shared" si="10"/>
        <v>116.03821797058517</v>
      </c>
      <c r="D155" s="77">
        <f t="shared" si="11"/>
        <v>67.291620328399375</v>
      </c>
      <c r="E155" s="92">
        <f t="shared" si="12"/>
        <v>4.0001000000000004E-3</v>
      </c>
      <c r="F155" s="92">
        <f t="shared" si="18"/>
        <v>3.1207014880917084E-5</v>
      </c>
      <c r="G155" s="39" t="str">
        <f t="shared" si="13"/>
        <v>10/10</v>
      </c>
      <c r="I155" s="96">
        <f t="shared" si="14"/>
        <v>4.0001000000000004E-3</v>
      </c>
      <c r="J155" s="77">
        <v>2.2366400647150009</v>
      </c>
      <c r="K155" s="76">
        <f t="shared" si="15"/>
        <v>0.22347418760746285</v>
      </c>
      <c r="L155" s="92">
        <f t="shared" si="16"/>
        <v>3.1207014880917084E-5</v>
      </c>
      <c r="M155" s="92"/>
      <c r="N155" s="97"/>
      <c r="P155" t="s">
        <v>429</v>
      </c>
    </row>
    <row r="156" spans="1:17" x14ac:dyDescent="0.25">
      <c r="A156" s="91">
        <v>800</v>
      </c>
      <c r="B156" s="76">
        <f t="shared" si="17"/>
        <v>262.9447680368624</v>
      </c>
      <c r="C156" s="77">
        <f t="shared" si="10"/>
        <v>130.78355231816937</v>
      </c>
      <c r="D156" s="77">
        <f t="shared" si="11"/>
        <v>49.73803179070471</v>
      </c>
      <c r="E156" s="92">
        <f t="shared" si="12"/>
        <v>4.2598999999999996E-3</v>
      </c>
      <c r="F156" s="92">
        <f t="shared" si="18"/>
        <v>3.773724950231528E-5</v>
      </c>
      <c r="G156" s="39" t="str">
        <f t="shared" si="13"/>
        <v>10/10</v>
      </c>
      <c r="I156" s="96">
        <f t="shared" si="14"/>
        <v>4.2598999999999996E-3</v>
      </c>
      <c r="J156" s="77">
        <v>2.4198645338285947</v>
      </c>
      <c r="K156" s="76">
        <f t="shared" si="15"/>
        <v>0.17533212031029244</v>
      </c>
      <c r="L156" s="92">
        <f t="shared" si="16"/>
        <v>3.773724950231528E-5</v>
      </c>
      <c r="M156" s="77"/>
      <c r="N156" s="39"/>
      <c r="P156" s="87" t="s">
        <v>430</v>
      </c>
      <c r="Q156" s="90" t="s">
        <v>431</v>
      </c>
    </row>
    <row r="157" spans="1:17" x14ac:dyDescent="0.25">
      <c r="A157" s="91">
        <v>850</v>
      </c>
      <c r="B157" s="76">
        <f t="shared" si="17"/>
        <v>259.64613680983234</v>
      </c>
      <c r="C157" s="77">
        <f t="shared" si="10"/>
        <v>196.36806193553633</v>
      </c>
      <c r="D157" s="77">
        <f t="shared" si="11"/>
        <v>75.629109813930512</v>
      </c>
      <c r="E157" s="92">
        <f t="shared" si="12"/>
        <v>4.5003999999999999E-3</v>
      </c>
      <c r="F157" s="92">
        <f t="shared" si="18"/>
        <v>3.7247520424556766E-5</v>
      </c>
      <c r="G157" s="39" t="str">
        <f t="shared" si="13"/>
        <v>10/10</v>
      </c>
      <c r="I157" s="96">
        <f t="shared" si="14"/>
        <v>4.5003999999999999E-3</v>
      </c>
      <c r="J157" s="77">
        <v>2.4143818652532252</v>
      </c>
      <c r="K157" s="76">
        <f t="shared" si="15"/>
        <v>0.24459650008831835</v>
      </c>
      <c r="L157" s="92">
        <f t="shared" si="16"/>
        <v>3.7247520424556766E-5</v>
      </c>
      <c r="M157" s="92">
        <f>(I157)</f>
        <v>4.5003999999999999E-3</v>
      </c>
      <c r="N157" s="39">
        <f>LOG10(B157)</f>
        <v>2.4143818652532252</v>
      </c>
      <c r="P157" s="91">
        <f>LOG10(B157)</f>
        <v>2.4143818652532252</v>
      </c>
      <c r="Q157" s="39">
        <f>LOG10(E157-0.27%)</f>
        <v>-2.7446309957335586</v>
      </c>
    </row>
    <row r="158" spans="1:17" x14ac:dyDescent="0.25">
      <c r="A158" s="91">
        <v>1000</v>
      </c>
      <c r="B158" s="76">
        <f t="shared" si="17"/>
        <v>494.80624026528267</v>
      </c>
      <c r="C158" s="77">
        <f t="shared" si="10"/>
        <v>208.17689123188242</v>
      </c>
      <c r="D158" s="77">
        <f t="shared" si="11"/>
        <v>42.072406184746505</v>
      </c>
      <c r="E158" s="92">
        <f t="shared" si="12"/>
        <v>5.2664999999999995E-3</v>
      </c>
      <c r="F158" s="92">
        <f t="shared" si="18"/>
        <v>4.369146878332707E-5</v>
      </c>
      <c r="G158" s="39" t="str">
        <f t="shared" si="13"/>
        <v>10/10</v>
      </c>
      <c r="I158" s="96">
        <f t="shared" si="14"/>
        <v>5.2664999999999995E-3</v>
      </c>
      <c r="J158" s="77">
        <v>2.6944351681108594</v>
      </c>
      <c r="K158" s="76">
        <f t="shared" si="15"/>
        <v>0.15250973587682637</v>
      </c>
      <c r="L158" s="92">
        <f t="shared" si="16"/>
        <v>4.369146878332707E-5</v>
      </c>
      <c r="M158" s="92">
        <f>(I158)</f>
        <v>5.2664999999999995E-3</v>
      </c>
      <c r="N158" s="39">
        <f>LOG10(B158)</f>
        <v>2.6944351681108594</v>
      </c>
      <c r="P158" s="91">
        <f t="shared" ref="P158:P160" si="19">LOG10(B158)</f>
        <v>2.6944351681108594</v>
      </c>
      <c r="Q158" s="39">
        <f t="shared" ref="Q158:Q160" si="20">LOG10(E158-0.27%)</f>
        <v>-2.5906587314032188</v>
      </c>
    </row>
    <row r="159" spans="1:17" x14ac:dyDescent="0.25">
      <c r="A159" s="91">
        <v>1500</v>
      </c>
      <c r="B159" s="76">
        <f t="shared" si="17"/>
        <v>1604.9497276756233</v>
      </c>
      <c r="C159" s="77">
        <f t="shared" si="10"/>
        <v>235.38756107211364</v>
      </c>
      <c r="D159" s="77">
        <f t="shared" si="11"/>
        <v>14.666351039731001</v>
      </c>
      <c r="E159" s="92">
        <f t="shared" si="12"/>
        <v>7.6791999999999997E-3</v>
      </c>
      <c r="F159" s="92">
        <f t="shared" si="18"/>
        <v>5.5300793645098597E-5</v>
      </c>
      <c r="G159" s="39" t="str">
        <f t="shared" si="13"/>
        <v>10/10</v>
      </c>
      <c r="I159" s="96">
        <f t="shared" si="14"/>
        <v>7.6791999999999997E-3</v>
      </c>
      <c r="J159" s="77">
        <v>3.2054614334168994</v>
      </c>
      <c r="K159" s="76">
        <f t="shared" si="15"/>
        <v>5.9435992428392481E-2</v>
      </c>
      <c r="L159" s="92">
        <f t="shared" si="16"/>
        <v>5.5300793645098597E-5</v>
      </c>
      <c r="M159" s="92">
        <f>(I159)</f>
        <v>7.6791999999999997E-3</v>
      </c>
      <c r="N159" s="39">
        <f>LOG10(B159)</f>
        <v>3.2054614334168994</v>
      </c>
      <c r="P159" s="91">
        <f t="shared" si="19"/>
        <v>3.2054614334168994</v>
      </c>
      <c r="Q159" s="39">
        <f t="shared" si="20"/>
        <v>-2.3028404290264239</v>
      </c>
    </row>
    <row r="160" spans="1:17" ht="15.75" thickBot="1" x14ac:dyDescent="0.3">
      <c r="A160" s="93">
        <v>2000</v>
      </c>
      <c r="B160" s="81">
        <f t="shared" si="17"/>
        <v>3620.3875872429535</v>
      </c>
      <c r="C160" s="94">
        <f t="shared" si="10"/>
        <v>669.67165327206067</v>
      </c>
      <c r="D160" s="94">
        <f t="shared" si="11"/>
        <v>18.49723647356879</v>
      </c>
      <c r="E160" s="95">
        <f t="shared" si="12"/>
        <v>1.00327E-2</v>
      </c>
      <c r="F160" s="95">
        <f>_xlfn.STDEV.S(G29,G15,G43,G57,G71,G85,G99,G113,G127,G141)*100%</f>
        <v>6.4003558928824668E-5</v>
      </c>
      <c r="G160" s="47" t="str">
        <f t="shared" si="13"/>
        <v>10/10</v>
      </c>
      <c r="I160" s="98">
        <f t="shared" si="14"/>
        <v>1.00327E-2</v>
      </c>
      <c r="J160" s="94">
        <v>3.5587550672155612</v>
      </c>
      <c r="K160" s="81">
        <f t="shared" si="15"/>
        <v>7.3708222090640874E-2</v>
      </c>
      <c r="L160" s="95">
        <f t="shared" si="16"/>
        <v>6.4003558928824668E-5</v>
      </c>
      <c r="M160" s="95">
        <f>(I160)</f>
        <v>1.00327E-2</v>
      </c>
      <c r="N160" s="47">
        <f>LOG10(B160)</f>
        <v>3.5587550672155612</v>
      </c>
      <c r="P160" s="93">
        <f t="shared" si="19"/>
        <v>3.5587550672155612</v>
      </c>
      <c r="Q160" s="47">
        <f t="shared" si="20"/>
        <v>-2.1347360827678905</v>
      </c>
    </row>
  </sheetData>
  <mergeCells count="11">
    <mergeCell ref="A145:G145"/>
    <mergeCell ref="A30:A43"/>
    <mergeCell ref="A114:A127"/>
    <mergeCell ref="A44:A57"/>
    <mergeCell ref="A2:A15"/>
    <mergeCell ref="A128:A141"/>
    <mergeCell ref="A100:A113"/>
    <mergeCell ref="A72:A85"/>
    <mergeCell ref="A86:A99"/>
    <mergeCell ref="A16:A29"/>
    <mergeCell ref="A58:A71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1"/>
  <sheetViews>
    <sheetView tabSelected="1" topLeftCell="G1" zoomScale="130" zoomScaleNormal="130" workbookViewId="0">
      <pane ySplit="1" topLeftCell="A122" activePane="bottomLeft" state="frozen"/>
      <selection pane="bottomLeft" activeCell="M126" sqref="M126"/>
    </sheetView>
  </sheetViews>
  <sheetFormatPr defaultRowHeight="15" x14ac:dyDescent="0.25"/>
  <cols>
    <col min="1" max="1" width="13.42578125" style="23" customWidth="1"/>
    <col min="2" max="2" width="11.28515625" style="23" customWidth="1"/>
    <col min="3" max="3" width="14.42578125" style="23" customWidth="1"/>
    <col min="4" max="4" width="23.85546875" style="23" bestFit="1" customWidth="1"/>
    <col min="5" max="5" width="20.42578125" style="23" bestFit="1" customWidth="1"/>
    <col min="6" max="6" width="18.42578125" style="23" bestFit="1" customWidth="1"/>
    <col min="7" max="7" width="18.85546875" style="23" bestFit="1" customWidth="1"/>
    <col min="8" max="8" width="14.85546875" style="23" bestFit="1" customWidth="1"/>
    <col min="9" max="9" width="17.5703125" style="23" bestFit="1" customWidth="1"/>
    <col min="10" max="10" width="17.7109375" style="23" customWidth="1"/>
  </cols>
  <sheetData>
    <row r="1" spans="1:10" ht="38.25" customHeight="1" thickBot="1" x14ac:dyDescent="0.3">
      <c r="A1" s="70" t="s">
        <v>335</v>
      </c>
      <c r="B1" s="70" t="s">
        <v>336</v>
      </c>
      <c r="C1" s="71" t="s">
        <v>294</v>
      </c>
      <c r="D1" s="70" t="s">
        <v>337</v>
      </c>
      <c r="E1" s="72" t="s">
        <v>338</v>
      </c>
      <c r="F1" s="70" t="s">
        <v>339</v>
      </c>
      <c r="G1" s="71" t="s">
        <v>340</v>
      </c>
      <c r="H1" s="72" t="s">
        <v>302</v>
      </c>
      <c r="I1" s="70" t="s">
        <v>303</v>
      </c>
      <c r="J1" s="71" t="s">
        <v>304</v>
      </c>
    </row>
    <row r="2" spans="1:10" x14ac:dyDescent="0.25">
      <c r="A2" s="108">
        <v>1</v>
      </c>
      <c r="B2" s="48">
        <f>1+0</f>
        <v>1</v>
      </c>
      <c r="C2" s="49">
        <v>45992.9924537037</v>
      </c>
      <c r="D2" s="50" t="s">
        <v>46</v>
      </c>
      <c r="E2" s="51">
        <v>0</v>
      </c>
      <c r="F2" s="52">
        <v>0</v>
      </c>
      <c r="G2" s="56">
        <v>5.8430000000000001E-3</v>
      </c>
      <c r="H2" s="53">
        <v>1538022689</v>
      </c>
      <c r="I2" s="54">
        <v>50.7</v>
      </c>
      <c r="J2" s="55" t="s">
        <v>341</v>
      </c>
    </row>
    <row r="3" spans="1:10" x14ac:dyDescent="0.25">
      <c r="A3" s="109"/>
      <c r="B3" s="59">
        <f t="shared" ref="B3:B12" si="0">B2+1</f>
        <v>2</v>
      </c>
      <c r="C3" s="27">
        <v>45992.993043981478</v>
      </c>
      <c r="D3" s="33" t="s">
        <v>46</v>
      </c>
      <c r="E3" s="34">
        <v>4</v>
      </c>
      <c r="F3" s="35">
        <v>1246.4713737951311</v>
      </c>
      <c r="G3" s="57">
        <v>5.2189999999999997E-3</v>
      </c>
      <c r="H3" s="30">
        <v>1538022689</v>
      </c>
      <c r="I3" s="36">
        <v>51.3</v>
      </c>
      <c r="J3" s="39"/>
    </row>
    <row r="4" spans="1:10" x14ac:dyDescent="0.25">
      <c r="A4" s="109"/>
      <c r="B4" s="59">
        <f t="shared" si="0"/>
        <v>3</v>
      </c>
      <c r="C4" s="27">
        <v>45992.993634259263</v>
      </c>
      <c r="D4" s="33" t="s">
        <v>46</v>
      </c>
      <c r="E4" s="34">
        <v>8</v>
      </c>
      <c r="F4" s="35">
        <v>557.63333993174854</v>
      </c>
      <c r="G4" s="57">
        <v>5.2050000000000004E-3</v>
      </c>
      <c r="H4" s="30">
        <v>1538022689</v>
      </c>
      <c r="I4" s="36">
        <v>50.6</v>
      </c>
      <c r="J4" s="37"/>
    </row>
    <row r="5" spans="1:10" x14ac:dyDescent="0.25">
      <c r="A5" s="109"/>
      <c r="B5" s="59">
        <f t="shared" si="0"/>
        <v>4</v>
      </c>
      <c r="C5" s="27">
        <v>45992.99422453704</v>
      </c>
      <c r="D5" s="33" t="s">
        <v>46</v>
      </c>
      <c r="E5" s="34">
        <v>15</v>
      </c>
      <c r="F5" s="35">
        <v>270.31912164177203</v>
      </c>
      <c r="G5" s="57">
        <v>5.2180000000000004E-3</v>
      </c>
      <c r="H5" s="30">
        <v>1538022689</v>
      </c>
      <c r="I5" s="36">
        <v>51.3</v>
      </c>
      <c r="J5" s="39"/>
    </row>
    <row r="6" spans="1:10" x14ac:dyDescent="0.25">
      <c r="A6" s="109"/>
      <c r="B6" s="60">
        <f t="shared" si="0"/>
        <v>5</v>
      </c>
      <c r="C6" s="28">
        <v>45992.994814814818</v>
      </c>
      <c r="D6" s="82" t="s">
        <v>46</v>
      </c>
      <c r="E6" s="26">
        <v>30</v>
      </c>
      <c r="F6" s="83">
        <v>755.6843617666093</v>
      </c>
      <c r="G6" s="84">
        <v>5.2139999999999999E-3</v>
      </c>
      <c r="H6" s="31">
        <v>1538022689</v>
      </c>
      <c r="I6" s="29">
        <v>50.9</v>
      </c>
      <c r="J6" s="85"/>
    </row>
    <row r="7" spans="1:10" x14ac:dyDescent="0.25">
      <c r="A7" s="113"/>
      <c r="B7" s="59">
        <f t="shared" si="0"/>
        <v>6</v>
      </c>
      <c r="C7" s="27">
        <v>45992.987615740742</v>
      </c>
      <c r="D7" s="33" t="s">
        <v>18</v>
      </c>
      <c r="E7" s="34">
        <v>150</v>
      </c>
      <c r="F7" s="35">
        <v>0</v>
      </c>
      <c r="G7" s="57">
        <v>3.6050000000000001E-3</v>
      </c>
      <c r="H7" s="24">
        <v>1537617399</v>
      </c>
      <c r="I7" s="36">
        <v>37.6</v>
      </c>
      <c r="J7" s="39" t="s">
        <v>341</v>
      </c>
    </row>
    <row r="8" spans="1:10" x14ac:dyDescent="0.25">
      <c r="A8" s="113"/>
      <c r="B8" s="59">
        <f t="shared" si="0"/>
        <v>7</v>
      </c>
      <c r="C8" s="27">
        <v>45992.988113425927</v>
      </c>
      <c r="D8" s="33" t="s">
        <v>18</v>
      </c>
      <c r="E8" s="34">
        <v>200</v>
      </c>
      <c r="F8" s="35">
        <v>0</v>
      </c>
      <c r="G8" s="57">
        <v>4.5360000000000001E-3</v>
      </c>
      <c r="H8" s="24">
        <v>1537617399</v>
      </c>
      <c r="I8" s="36">
        <v>43.7</v>
      </c>
      <c r="J8" s="39" t="s">
        <v>341</v>
      </c>
    </row>
    <row r="9" spans="1:10" x14ac:dyDescent="0.25">
      <c r="A9" s="113"/>
      <c r="B9" s="59">
        <f t="shared" si="0"/>
        <v>8</v>
      </c>
      <c r="C9" s="27">
        <v>45992.988715277781</v>
      </c>
      <c r="D9" s="33" t="s">
        <v>18</v>
      </c>
      <c r="E9" s="34">
        <v>250</v>
      </c>
      <c r="F9" s="35">
        <v>573.31940987288795</v>
      </c>
      <c r="G9" s="57">
        <v>5.287E-3</v>
      </c>
      <c r="H9" s="24">
        <v>1537617399</v>
      </c>
      <c r="I9" s="36">
        <v>52.1</v>
      </c>
      <c r="J9" s="38"/>
    </row>
    <row r="10" spans="1:10" x14ac:dyDescent="0.25">
      <c r="A10" s="113"/>
      <c r="B10" s="59">
        <f t="shared" si="0"/>
        <v>9</v>
      </c>
      <c r="C10" s="27">
        <v>45992.989432870367</v>
      </c>
      <c r="D10" s="33" t="s">
        <v>18</v>
      </c>
      <c r="E10" s="34">
        <v>300</v>
      </c>
      <c r="F10" s="35">
        <v>2500.3953954525641</v>
      </c>
      <c r="G10" s="57">
        <v>5.8869999999999999E-3</v>
      </c>
      <c r="H10" s="24">
        <v>1537617399</v>
      </c>
      <c r="I10" s="36">
        <v>61.4</v>
      </c>
      <c r="J10" s="39"/>
    </row>
    <row r="11" spans="1:10" x14ac:dyDescent="0.25">
      <c r="A11" s="113"/>
      <c r="B11" s="59">
        <f t="shared" si="0"/>
        <v>10</v>
      </c>
      <c r="C11" s="27">
        <v>45992.990416666667</v>
      </c>
      <c r="D11" s="33" t="s">
        <v>18</v>
      </c>
      <c r="E11" s="34">
        <v>400</v>
      </c>
      <c r="F11" s="35">
        <v>7843.8324663673029</v>
      </c>
      <c r="G11" s="57">
        <v>6.8490000000000001E-3</v>
      </c>
      <c r="H11" s="24">
        <v>1537617399</v>
      </c>
      <c r="I11" s="36">
        <v>85.6</v>
      </c>
      <c r="J11" s="39"/>
    </row>
    <row r="12" spans="1:10" ht="15.75" thickBot="1" x14ac:dyDescent="0.3">
      <c r="A12" s="114"/>
      <c r="B12" s="40">
        <f t="shared" si="0"/>
        <v>11</v>
      </c>
      <c r="C12" s="41">
        <v>45992.991863425923</v>
      </c>
      <c r="D12" s="42" t="s">
        <v>18</v>
      </c>
      <c r="E12" s="43">
        <v>500</v>
      </c>
      <c r="F12" s="44">
        <v>18280.26483587968</v>
      </c>
      <c r="G12" s="58">
        <v>7.5310000000000004E-3</v>
      </c>
      <c r="H12" s="74">
        <v>1537617399</v>
      </c>
      <c r="I12" s="46">
        <v>124.7</v>
      </c>
      <c r="J12" s="47"/>
    </row>
    <row r="13" spans="1:10" ht="15" customHeight="1" x14ac:dyDescent="0.25">
      <c r="A13" s="108">
        <v>2</v>
      </c>
      <c r="B13" s="48">
        <f>1+0</f>
        <v>1</v>
      </c>
      <c r="C13" s="49">
        <v>45993.007430555554</v>
      </c>
      <c r="D13" s="50" t="s">
        <v>46</v>
      </c>
      <c r="E13" s="51">
        <v>0</v>
      </c>
      <c r="F13" s="52">
        <v>0</v>
      </c>
      <c r="G13" s="56">
        <v>5.8459999999999996E-3</v>
      </c>
      <c r="H13" s="53">
        <v>1539315972</v>
      </c>
      <c r="I13" s="54">
        <v>51</v>
      </c>
      <c r="J13" s="55" t="s">
        <v>341</v>
      </c>
    </row>
    <row r="14" spans="1:10" ht="15" customHeight="1" x14ac:dyDescent="0.25">
      <c r="A14" s="109"/>
      <c r="B14" s="59">
        <f t="shared" ref="B14:B23" si="1">B13+1</f>
        <v>2</v>
      </c>
      <c r="C14" s="27">
        <v>45993.008009259262</v>
      </c>
      <c r="D14" s="33" t="s">
        <v>46</v>
      </c>
      <c r="E14" s="34">
        <v>4</v>
      </c>
      <c r="F14" s="35">
        <v>423.3801587826141</v>
      </c>
      <c r="G14" s="57">
        <v>5.1869999999999998E-3</v>
      </c>
      <c r="H14" s="30">
        <v>1539315972</v>
      </c>
      <c r="I14" s="36">
        <v>50.9</v>
      </c>
      <c r="J14" s="39"/>
    </row>
    <row r="15" spans="1:10" ht="15" customHeight="1" x14ac:dyDescent="0.25">
      <c r="A15" s="109"/>
      <c r="B15" s="59">
        <f t="shared" si="1"/>
        <v>3</v>
      </c>
      <c r="C15" s="27">
        <v>45993.008599537039</v>
      </c>
      <c r="D15" s="33" t="s">
        <v>46</v>
      </c>
      <c r="E15" s="34">
        <v>8</v>
      </c>
      <c r="F15" s="35">
        <v>381.01253933724928</v>
      </c>
      <c r="G15" s="57">
        <v>5.2529999999999999E-3</v>
      </c>
      <c r="H15" s="30">
        <v>1539315972</v>
      </c>
      <c r="I15" s="36">
        <v>50.7</v>
      </c>
      <c r="J15" s="37"/>
    </row>
    <row r="16" spans="1:10" ht="15" customHeight="1" x14ac:dyDescent="0.25">
      <c r="A16" s="109"/>
      <c r="B16" s="59">
        <f t="shared" si="1"/>
        <v>4</v>
      </c>
      <c r="C16" s="27">
        <v>45993.009189814817</v>
      </c>
      <c r="D16" s="33" t="s">
        <v>46</v>
      </c>
      <c r="E16" s="34">
        <v>15</v>
      </c>
      <c r="F16" s="35">
        <v>89.424356114386939</v>
      </c>
      <c r="G16" s="57">
        <v>5.1980000000000004E-3</v>
      </c>
      <c r="H16" s="30">
        <v>1539315972</v>
      </c>
      <c r="I16" s="36">
        <v>50.7</v>
      </c>
      <c r="J16" s="39"/>
    </row>
    <row r="17" spans="1:10" ht="15" customHeight="1" x14ac:dyDescent="0.25">
      <c r="A17" s="109"/>
      <c r="B17" s="60">
        <f t="shared" si="1"/>
        <v>5</v>
      </c>
      <c r="C17" s="28">
        <v>45993.009768518517</v>
      </c>
      <c r="D17" s="82" t="s">
        <v>46</v>
      </c>
      <c r="E17" s="26">
        <v>30</v>
      </c>
      <c r="F17" s="83">
        <v>572.68549534355759</v>
      </c>
      <c r="G17" s="84">
        <v>5.0790000000000002E-3</v>
      </c>
      <c r="H17" s="31">
        <v>1539315972</v>
      </c>
      <c r="I17" s="29">
        <v>49.7</v>
      </c>
      <c r="J17" s="85"/>
    </row>
    <row r="18" spans="1:10" ht="15" customHeight="1" x14ac:dyDescent="0.25">
      <c r="A18" s="113"/>
      <c r="B18" s="59">
        <f t="shared" si="1"/>
        <v>6</v>
      </c>
      <c r="C18" s="27">
        <v>45993.002581018518</v>
      </c>
      <c r="D18" s="33" t="s">
        <v>18</v>
      </c>
      <c r="E18" s="34">
        <v>150</v>
      </c>
      <c r="F18" s="35">
        <v>0</v>
      </c>
      <c r="G18" s="57">
        <v>3.5739999999999999E-3</v>
      </c>
      <c r="H18" s="24">
        <v>1538911707</v>
      </c>
      <c r="I18" s="36">
        <v>36.5</v>
      </c>
      <c r="J18" s="39" t="s">
        <v>341</v>
      </c>
    </row>
    <row r="19" spans="1:10" ht="15" customHeight="1" x14ac:dyDescent="0.25">
      <c r="A19" s="113"/>
      <c r="B19" s="59">
        <f t="shared" si="1"/>
        <v>7</v>
      </c>
      <c r="C19" s="27">
        <v>45993.003101851849</v>
      </c>
      <c r="D19" s="33" t="s">
        <v>18</v>
      </c>
      <c r="E19" s="34">
        <v>200</v>
      </c>
      <c r="F19" s="35">
        <v>200.6041757386248</v>
      </c>
      <c r="G19" s="57">
        <v>4.4910000000000002E-3</v>
      </c>
      <c r="H19" s="24">
        <v>1538911707</v>
      </c>
      <c r="I19" s="36">
        <v>45.3</v>
      </c>
      <c r="J19" s="39"/>
    </row>
    <row r="20" spans="1:10" ht="15" customHeight="1" x14ac:dyDescent="0.25">
      <c r="A20" s="113"/>
      <c r="B20" s="59">
        <f t="shared" si="1"/>
        <v>8</v>
      </c>
      <c r="C20" s="27">
        <v>45993.003692129627</v>
      </c>
      <c r="D20" s="33" t="s">
        <v>18</v>
      </c>
      <c r="E20" s="34">
        <v>250</v>
      </c>
      <c r="F20" s="35">
        <v>410.47699958505729</v>
      </c>
      <c r="G20" s="57">
        <v>5.1840000000000002E-3</v>
      </c>
      <c r="H20" s="24">
        <v>1538911707</v>
      </c>
      <c r="I20" s="36">
        <v>50.4</v>
      </c>
      <c r="J20" s="38"/>
    </row>
    <row r="21" spans="1:10" ht="15" customHeight="1" x14ac:dyDescent="0.25">
      <c r="A21" s="113"/>
      <c r="B21" s="59">
        <f t="shared" si="1"/>
        <v>9</v>
      </c>
      <c r="C21" s="27">
        <v>45993.00440972222</v>
      </c>
      <c r="D21" s="33" t="s">
        <v>18</v>
      </c>
      <c r="E21" s="34">
        <v>300</v>
      </c>
      <c r="F21" s="35">
        <v>1462.796728334393</v>
      </c>
      <c r="G21" s="57">
        <v>5.79E-3</v>
      </c>
      <c r="H21" s="24">
        <v>1538911707</v>
      </c>
      <c r="I21" s="36">
        <v>62</v>
      </c>
      <c r="J21" s="39"/>
    </row>
    <row r="22" spans="1:10" ht="15" customHeight="1" x14ac:dyDescent="0.25">
      <c r="A22" s="113"/>
      <c r="B22" s="59">
        <f t="shared" si="1"/>
        <v>10</v>
      </c>
      <c r="C22" s="27">
        <v>45993.005416666667</v>
      </c>
      <c r="D22" s="33" t="s">
        <v>18</v>
      </c>
      <c r="E22" s="34">
        <v>400</v>
      </c>
      <c r="F22" s="35">
        <v>6498.5857661031696</v>
      </c>
      <c r="G22" s="57">
        <v>6.803E-3</v>
      </c>
      <c r="H22" s="24">
        <v>1538911707</v>
      </c>
      <c r="I22" s="36">
        <v>87.9</v>
      </c>
      <c r="J22" s="39"/>
    </row>
    <row r="23" spans="1:10" ht="15.75" customHeight="1" thickBot="1" x14ac:dyDescent="0.3">
      <c r="A23" s="114"/>
      <c r="B23" s="40">
        <f t="shared" si="1"/>
        <v>11</v>
      </c>
      <c r="C23" s="41">
        <v>45993.006828703707</v>
      </c>
      <c r="D23" s="42" t="s">
        <v>18</v>
      </c>
      <c r="E23" s="43">
        <v>500</v>
      </c>
      <c r="F23" s="44">
        <v>12380.86250709844</v>
      </c>
      <c r="G23" s="58">
        <v>7.4380000000000002E-3</v>
      </c>
      <c r="H23" s="74">
        <v>1538911707</v>
      </c>
      <c r="I23" s="46">
        <v>122</v>
      </c>
      <c r="J23" s="47"/>
    </row>
    <row r="24" spans="1:10" ht="15" customHeight="1" x14ac:dyDescent="0.25">
      <c r="A24" s="108">
        <v>3</v>
      </c>
      <c r="B24" s="48">
        <f>1+0</f>
        <v>1</v>
      </c>
      <c r="C24" s="49">
        <v>45993.022430555553</v>
      </c>
      <c r="D24" s="50" t="s">
        <v>46</v>
      </c>
      <c r="E24" s="51">
        <v>0</v>
      </c>
      <c r="F24" s="52">
        <v>0</v>
      </c>
      <c r="G24" s="56">
        <v>5.8320000000000004E-3</v>
      </c>
      <c r="H24" s="53">
        <v>1540612255</v>
      </c>
      <c r="I24" s="54">
        <v>50.8</v>
      </c>
      <c r="J24" s="55" t="s">
        <v>341</v>
      </c>
    </row>
    <row r="25" spans="1:10" ht="15" customHeight="1" x14ac:dyDescent="0.25">
      <c r="A25" s="109"/>
      <c r="B25" s="59">
        <f t="shared" ref="B25:B34" si="2">B24+1</f>
        <v>2</v>
      </c>
      <c r="C25" s="27">
        <v>45993.023020833331</v>
      </c>
      <c r="D25" s="33" t="s">
        <v>46</v>
      </c>
      <c r="E25" s="34">
        <v>4</v>
      </c>
      <c r="F25" s="35">
        <v>952.6926229353644</v>
      </c>
      <c r="G25" s="57">
        <v>5.2649999999999997E-3</v>
      </c>
      <c r="H25" s="30">
        <v>1540612255</v>
      </c>
      <c r="I25" s="36">
        <v>51.7</v>
      </c>
      <c r="J25" s="39"/>
    </row>
    <row r="26" spans="1:10" ht="15" customHeight="1" x14ac:dyDescent="0.25">
      <c r="A26" s="109"/>
      <c r="B26" s="59">
        <f t="shared" si="2"/>
        <v>3</v>
      </c>
      <c r="C26" s="27">
        <v>45993.023622685178</v>
      </c>
      <c r="D26" s="33" t="s">
        <v>46</v>
      </c>
      <c r="E26" s="34">
        <v>8</v>
      </c>
      <c r="F26" s="35">
        <v>488.05976551704498</v>
      </c>
      <c r="G26" s="57">
        <v>5.2659999999999998E-3</v>
      </c>
      <c r="H26" s="30">
        <v>1540612255</v>
      </c>
      <c r="I26" s="36">
        <v>51.9</v>
      </c>
      <c r="J26" s="37"/>
    </row>
    <row r="27" spans="1:10" ht="15" customHeight="1" x14ac:dyDescent="0.25">
      <c r="A27" s="109"/>
      <c r="B27" s="59">
        <f t="shared" si="2"/>
        <v>4</v>
      </c>
      <c r="C27" s="27">
        <v>45993.024212962962</v>
      </c>
      <c r="D27" s="33" t="s">
        <v>46</v>
      </c>
      <c r="E27" s="34">
        <v>15</v>
      </c>
      <c r="F27" s="35">
        <v>764.80747736076148</v>
      </c>
      <c r="G27" s="57">
        <v>5.2050000000000004E-3</v>
      </c>
      <c r="H27" s="30">
        <v>1540612255</v>
      </c>
      <c r="I27" s="36">
        <v>51.2</v>
      </c>
      <c r="J27" s="39"/>
    </row>
    <row r="28" spans="1:10" ht="15" customHeight="1" x14ac:dyDescent="0.25">
      <c r="A28" s="109"/>
      <c r="B28" s="60">
        <f t="shared" si="2"/>
        <v>5</v>
      </c>
      <c r="C28" s="28">
        <v>45993.02480324074</v>
      </c>
      <c r="D28" s="82" t="s">
        <v>46</v>
      </c>
      <c r="E28" s="26">
        <v>30</v>
      </c>
      <c r="F28" s="83">
        <v>858.42282935728849</v>
      </c>
      <c r="G28" s="84">
        <v>5.1440000000000001E-3</v>
      </c>
      <c r="H28" s="31">
        <v>1540612255</v>
      </c>
      <c r="I28" s="29">
        <v>50.8</v>
      </c>
      <c r="J28" s="85"/>
    </row>
    <row r="29" spans="1:10" ht="15" customHeight="1" x14ac:dyDescent="0.25">
      <c r="A29" s="113"/>
      <c r="B29" s="59">
        <f t="shared" si="2"/>
        <v>6</v>
      </c>
      <c r="C29" s="27">
        <v>45993.017569444448</v>
      </c>
      <c r="D29" s="33" t="s">
        <v>18</v>
      </c>
      <c r="E29" s="34">
        <v>150</v>
      </c>
      <c r="F29" s="35">
        <v>0</v>
      </c>
      <c r="G29" s="57">
        <v>3.6089999999999998E-3</v>
      </c>
      <c r="H29" s="24">
        <v>1540206131</v>
      </c>
      <c r="I29" s="36">
        <v>37.799999999999997</v>
      </c>
      <c r="J29" s="39" t="s">
        <v>341</v>
      </c>
    </row>
    <row r="30" spans="1:10" ht="15" customHeight="1" x14ac:dyDescent="0.25">
      <c r="A30" s="113"/>
      <c r="B30" s="59">
        <f t="shared" si="2"/>
        <v>7</v>
      </c>
      <c r="C30" s="27">
        <v>45993.018078703702</v>
      </c>
      <c r="D30" s="33" t="s">
        <v>18</v>
      </c>
      <c r="E30" s="34">
        <v>200</v>
      </c>
      <c r="F30" s="35">
        <v>0</v>
      </c>
      <c r="G30" s="57">
        <v>4.5170000000000002E-3</v>
      </c>
      <c r="H30" s="24">
        <v>1540206131</v>
      </c>
      <c r="I30" s="36">
        <v>43.3</v>
      </c>
      <c r="J30" s="39" t="s">
        <v>341</v>
      </c>
    </row>
    <row r="31" spans="1:10" ht="15" customHeight="1" x14ac:dyDescent="0.25">
      <c r="A31" s="113"/>
      <c r="B31" s="59">
        <f t="shared" si="2"/>
        <v>8</v>
      </c>
      <c r="C31" s="27">
        <v>45993.018680555557</v>
      </c>
      <c r="D31" s="33" t="s">
        <v>18</v>
      </c>
      <c r="E31" s="34">
        <v>250</v>
      </c>
      <c r="F31" s="35">
        <v>586.13955685852261</v>
      </c>
      <c r="G31" s="57">
        <v>5.28E-3</v>
      </c>
      <c r="H31" s="24">
        <v>1540206131</v>
      </c>
      <c r="I31" s="36">
        <v>52</v>
      </c>
      <c r="J31" s="38"/>
    </row>
    <row r="32" spans="1:10" ht="15" customHeight="1" x14ac:dyDescent="0.25">
      <c r="A32" s="113"/>
      <c r="B32" s="59">
        <f t="shared" si="2"/>
        <v>9</v>
      </c>
      <c r="C32" s="27">
        <v>45993.019409722219</v>
      </c>
      <c r="D32" s="33" t="s">
        <v>18</v>
      </c>
      <c r="E32" s="34">
        <v>300</v>
      </c>
      <c r="F32" s="35">
        <v>1797.6956555250149</v>
      </c>
      <c r="G32" s="57">
        <v>5.901E-3</v>
      </c>
      <c r="H32" s="24">
        <v>1540206131</v>
      </c>
      <c r="I32" s="36">
        <v>63</v>
      </c>
      <c r="J32" s="39"/>
    </row>
    <row r="33" spans="1:10" ht="15" customHeight="1" x14ac:dyDescent="0.25">
      <c r="A33" s="113"/>
      <c r="B33" s="59">
        <f t="shared" si="2"/>
        <v>10</v>
      </c>
      <c r="C33" s="27">
        <v>45993.02039351852</v>
      </c>
      <c r="D33" s="33" t="s">
        <v>18</v>
      </c>
      <c r="E33" s="34">
        <v>400</v>
      </c>
      <c r="F33" s="35">
        <v>8630.3373054142121</v>
      </c>
      <c r="G33" s="57">
        <v>6.8719999999999996E-3</v>
      </c>
      <c r="H33" s="24">
        <v>1540206131</v>
      </c>
      <c r="I33" s="36">
        <v>85.3</v>
      </c>
      <c r="J33" s="39"/>
    </row>
    <row r="34" spans="1:10" ht="15.75" customHeight="1" thickBot="1" x14ac:dyDescent="0.3">
      <c r="A34" s="114"/>
      <c r="B34" s="40">
        <f t="shared" si="2"/>
        <v>11</v>
      </c>
      <c r="C34" s="41">
        <v>45993.021840277783</v>
      </c>
      <c r="D34" s="42" t="s">
        <v>18</v>
      </c>
      <c r="E34" s="43">
        <v>500</v>
      </c>
      <c r="F34" s="44">
        <v>17944.878168560441</v>
      </c>
      <c r="G34" s="58">
        <v>7.5649999999999997E-3</v>
      </c>
      <c r="H34" s="74">
        <v>1540206131</v>
      </c>
      <c r="I34" s="46">
        <v>124.7</v>
      </c>
      <c r="J34" s="47"/>
    </row>
    <row r="35" spans="1:10" ht="15" customHeight="1" x14ac:dyDescent="0.25">
      <c r="A35" s="108">
        <v>4</v>
      </c>
      <c r="B35" s="48">
        <f>1+0</f>
        <v>1</v>
      </c>
      <c r="C35" s="49">
        <v>45993.037442129629</v>
      </c>
      <c r="D35" s="50" t="s">
        <v>46</v>
      </c>
      <c r="E35" s="51">
        <v>0</v>
      </c>
      <c r="F35" s="52">
        <v>0</v>
      </c>
      <c r="G35" s="56">
        <v>5.8659999999999997E-3</v>
      </c>
      <c r="H35" s="53">
        <v>1541909613</v>
      </c>
      <c r="I35" s="54">
        <v>51.3</v>
      </c>
      <c r="J35" s="55" t="s">
        <v>341</v>
      </c>
    </row>
    <row r="36" spans="1:10" ht="15" customHeight="1" x14ac:dyDescent="0.25">
      <c r="A36" s="109"/>
      <c r="B36" s="59">
        <f t="shared" ref="B36:B45" si="3">B35+1</f>
        <v>2</v>
      </c>
      <c r="C36" s="27">
        <v>45993.038043981483</v>
      </c>
      <c r="D36" s="33" t="s">
        <v>46</v>
      </c>
      <c r="E36" s="34">
        <v>4</v>
      </c>
      <c r="F36" s="35">
        <v>442.48641080705067</v>
      </c>
      <c r="G36" s="57">
        <v>5.267E-3</v>
      </c>
      <c r="H36" s="30">
        <v>1541909613</v>
      </c>
      <c r="I36" s="36">
        <v>52</v>
      </c>
      <c r="J36" s="39"/>
    </row>
    <row r="37" spans="1:10" ht="15" customHeight="1" x14ac:dyDescent="0.25">
      <c r="A37" s="109"/>
      <c r="B37" s="59">
        <f t="shared" si="3"/>
        <v>3</v>
      </c>
      <c r="C37" s="27">
        <v>45993.038634259261</v>
      </c>
      <c r="D37" s="33" t="s">
        <v>46</v>
      </c>
      <c r="E37" s="34">
        <v>8</v>
      </c>
      <c r="F37" s="35">
        <v>164.454825316712</v>
      </c>
      <c r="G37" s="57">
        <v>5.2259999999999997E-3</v>
      </c>
      <c r="H37" s="30">
        <v>1541909613</v>
      </c>
      <c r="I37" s="36">
        <v>50.7</v>
      </c>
      <c r="J37" s="37"/>
    </row>
    <row r="38" spans="1:10" ht="15" customHeight="1" x14ac:dyDescent="0.25">
      <c r="A38" s="109"/>
      <c r="B38" s="59">
        <f t="shared" si="3"/>
        <v>4</v>
      </c>
      <c r="C38" s="27">
        <v>45993.039224537039</v>
      </c>
      <c r="D38" s="33" t="s">
        <v>46</v>
      </c>
      <c r="E38" s="34">
        <v>15</v>
      </c>
      <c r="F38" s="35">
        <v>374.25281110730231</v>
      </c>
      <c r="G38" s="57">
        <v>5.2440000000000004E-3</v>
      </c>
      <c r="H38" s="30">
        <v>1541909613</v>
      </c>
      <c r="I38" s="36">
        <v>50.7</v>
      </c>
      <c r="J38" s="39"/>
    </row>
    <row r="39" spans="1:10" ht="15" customHeight="1" x14ac:dyDescent="0.25">
      <c r="A39" s="109"/>
      <c r="B39" s="60">
        <f t="shared" si="3"/>
        <v>5</v>
      </c>
      <c r="C39" s="28">
        <v>45993.039803240739</v>
      </c>
      <c r="D39" s="82" t="s">
        <v>46</v>
      </c>
      <c r="E39" s="26">
        <v>30</v>
      </c>
      <c r="F39" s="83">
        <v>337.7776079311144</v>
      </c>
      <c r="G39" s="84">
        <v>5.1479999999999998E-3</v>
      </c>
      <c r="H39" s="31">
        <v>1541909613</v>
      </c>
      <c r="I39" s="29">
        <v>50.4</v>
      </c>
      <c r="J39" s="85"/>
    </row>
    <row r="40" spans="1:10" ht="15" customHeight="1" x14ac:dyDescent="0.25">
      <c r="A40" s="113"/>
      <c r="B40" s="59">
        <f t="shared" si="3"/>
        <v>6</v>
      </c>
      <c r="C40" s="27">
        <v>45993.032592592594</v>
      </c>
      <c r="D40" s="33" t="s">
        <v>18</v>
      </c>
      <c r="E40" s="34">
        <v>150</v>
      </c>
      <c r="F40" s="35">
        <v>0</v>
      </c>
      <c r="G40" s="57">
        <v>3.5850000000000001E-3</v>
      </c>
      <c r="H40" s="24">
        <v>1541504366</v>
      </c>
      <c r="I40" s="36">
        <v>37.5</v>
      </c>
      <c r="J40" s="39" t="s">
        <v>341</v>
      </c>
    </row>
    <row r="41" spans="1:10" ht="15" customHeight="1" x14ac:dyDescent="0.25">
      <c r="A41" s="113"/>
      <c r="B41" s="59">
        <f t="shared" si="3"/>
        <v>7</v>
      </c>
      <c r="C41" s="27">
        <v>45993.033101851863</v>
      </c>
      <c r="D41" s="33" t="s">
        <v>18</v>
      </c>
      <c r="E41" s="34">
        <v>200</v>
      </c>
      <c r="F41" s="35">
        <v>231.41741461771889</v>
      </c>
      <c r="G41" s="57">
        <v>4.4759999999999999E-3</v>
      </c>
      <c r="H41" s="24">
        <v>1541504366</v>
      </c>
      <c r="I41" s="36">
        <v>43.5</v>
      </c>
      <c r="J41" s="39"/>
    </row>
    <row r="42" spans="1:10" ht="15" customHeight="1" x14ac:dyDescent="0.25">
      <c r="A42" s="113"/>
      <c r="B42" s="59">
        <f t="shared" si="3"/>
        <v>8</v>
      </c>
      <c r="C42" s="27">
        <v>45993.033692129633</v>
      </c>
      <c r="D42" s="33" t="s">
        <v>18</v>
      </c>
      <c r="E42" s="34">
        <v>250</v>
      </c>
      <c r="F42" s="35">
        <v>561.40863646829678</v>
      </c>
      <c r="G42" s="57">
        <v>5.2579999999999997E-3</v>
      </c>
      <c r="H42" s="24">
        <v>1541504366</v>
      </c>
      <c r="I42" s="36">
        <v>51.2</v>
      </c>
      <c r="J42" s="38"/>
    </row>
    <row r="43" spans="1:10" ht="15" customHeight="1" x14ac:dyDescent="0.25">
      <c r="A43" s="113"/>
      <c r="B43" s="59">
        <f t="shared" si="3"/>
        <v>9</v>
      </c>
      <c r="C43" s="27">
        <v>45993.034409722219</v>
      </c>
      <c r="D43" s="33" t="s">
        <v>18</v>
      </c>
      <c r="E43" s="34">
        <v>300</v>
      </c>
      <c r="F43" s="35">
        <v>1110.049458561351</v>
      </c>
      <c r="G43" s="57">
        <v>5.8659999999999997E-3</v>
      </c>
      <c r="H43" s="24">
        <v>1541504366</v>
      </c>
      <c r="I43" s="36">
        <v>61.4</v>
      </c>
      <c r="J43" s="39"/>
    </row>
    <row r="44" spans="1:10" ht="15" customHeight="1" x14ac:dyDescent="0.25">
      <c r="A44" s="113"/>
      <c r="B44" s="59">
        <f t="shared" si="3"/>
        <v>10</v>
      </c>
      <c r="C44" s="27">
        <v>45993.035405092603</v>
      </c>
      <c r="D44" s="33" t="s">
        <v>18</v>
      </c>
      <c r="E44" s="34">
        <v>400</v>
      </c>
      <c r="F44" s="35">
        <v>8064.6241594716248</v>
      </c>
      <c r="G44" s="57">
        <v>6.8300000000000001E-3</v>
      </c>
      <c r="H44" s="24">
        <v>1541504366</v>
      </c>
      <c r="I44" s="36">
        <v>86.6</v>
      </c>
      <c r="J44" s="39"/>
    </row>
    <row r="45" spans="1:10" ht="15.75" customHeight="1" thickBot="1" x14ac:dyDescent="0.3">
      <c r="A45" s="114"/>
      <c r="B45" s="40">
        <f t="shared" si="3"/>
        <v>11</v>
      </c>
      <c r="C45" s="41">
        <v>45993.036851851852</v>
      </c>
      <c r="D45" s="42" t="s">
        <v>18</v>
      </c>
      <c r="E45" s="43">
        <v>500</v>
      </c>
      <c r="F45" s="44">
        <v>17978.685191046381</v>
      </c>
      <c r="G45" s="58">
        <v>7.5890000000000003E-3</v>
      </c>
      <c r="H45" s="74">
        <v>1541504366</v>
      </c>
      <c r="I45" s="46">
        <v>124.9</v>
      </c>
      <c r="J45" s="47"/>
    </row>
    <row r="46" spans="1:10" ht="15" customHeight="1" x14ac:dyDescent="0.25">
      <c r="A46" s="108">
        <v>5</v>
      </c>
      <c r="B46" s="48">
        <f>1+0</f>
        <v>1</v>
      </c>
      <c r="C46" s="49">
        <v>45993.052534722221</v>
      </c>
      <c r="D46" s="50" t="s">
        <v>46</v>
      </c>
      <c r="E46" s="51">
        <v>0</v>
      </c>
      <c r="F46" s="52">
        <v>0</v>
      </c>
      <c r="G46" s="56">
        <v>5.8409999999999998E-3</v>
      </c>
      <c r="H46" s="53">
        <v>1543213097</v>
      </c>
      <c r="I46" s="54">
        <v>50.9</v>
      </c>
      <c r="J46" s="55" t="s">
        <v>341</v>
      </c>
    </row>
    <row r="47" spans="1:10" ht="15" customHeight="1" x14ac:dyDescent="0.25">
      <c r="A47" s="109"/>
      <c r="B47" s="59">
        <f t="shared" ref="B47:B56" si="4">B46+1</f>
        <v>2</v>
      </c>
      <c r="C47" s="27">
        <v>45993.053124999999</v>
      </c>
      <c r="D47" s="33" t="s">
        <v>46</v>
      </c>
      <c r="E47" s="34">
        <v>4</v>
      </c>
      <c r="F47" s="35">
        <v>325.67500656741908</v>
      </c>
      <c r="G47" s="57">
        <v>5.2230000000000002E-3</v>
      </c>
      <c r="H47" s="30">
        <v>1543213097</v>
      </c>
      <c r="I47" s="36">
        <v>51.3</v>
      </c>
      <c r="J47" s="39"/>
    </row>
    <row r="48" spans="1:10" ht="15" customHeight="1" x14ac:dyDescent="0.25">
      <c r="A48" s="109"/>
      <c r="B48" s="59">
        <f t="shared" si="4"/>
        <v>3</v>
      </c>
      <c r="C48" s="27">
        <v>45993.053715277783</v>
      </c>
      <c r="D48" s="33" t="s">
        <v>46</v>
      </c>
      <c r="E48" s="34">
        <v>8</v>
      </c>
      <c r="F48" s="35">
        <v>221.81208497423731</v>
      </c>
      <c r="G48" s="57">
        <v>5.182E-3</v>
      </c>
      <c r="H48" s="30">
        <v>1543213097</v>
      </c>
      <c r="I48" s="36">
        <v>51</v>
      </c>
      <c r="J48" s="37"/>
    </row>
    <row r="49" spans="1:10" ht="15" customHeight="1" x14ac:dyDescent="0.25">
      <c r="A49" s="109"/>
      <c r="B49" s="59">
        <f t="shared" si="4"/>
        <v>4</v>
      </c>
      <c r="C49" s="27">
        <v>45993.054293981477</v>
      </c>
      <c r="D49" s="33" t="s">
        <v>46</v>
      </c>
      <c r="E49" s="34">
        <v>15</v>
      </c>
      <c r="F49" s="35">
        <v>652.02652449591392</v>
      </c>
      <c r="G49" s="57">
        <v>5.1359999999999999E-3</v>
      </c>
      <c r="H49" s="30">
        <v>1543213097</v>
      </c>
      <c r="I49" s="36">
        <v>49.8</v>
      </c>
      <c r="J49" s="39"/>
    </row>
    <row r="50" spans="1:10" ht="15" customHeight="1" x14ac:dyDescent="0.25">
      <c r="A50" s="109"/>
      <c r="B50" s="60">
        <f t="shared" si="4"/>
        <v>5</v>
      </c>
      <c r="C50" s="28">
        <v>45993.054849537039</v>
      </c>
      <c r="D50" s="82" t="s">
        <v>46</v>
      </c>
      <c r="E50" s="26">
        <v>30</v>
      </c>
      <c r="F50" s="83">
        <v>3.8129292265692221</v>
      </c>
      <c r="G50" s="84">
        <v>5.1000000000000004E-3</v>
      </c>
      <c r="H50" s="31">
        <v>1543213097</v>
      </c>
      <c r="I50" s="29">
        <v>48.7</v>
      </c>
      <c r="J50" s="85"/>
    </row>
    <row r="51" spans="1:10" ht="15" customHeight="1" x14ac:dyDescent="0.25">
      <c r="A51" s="113"/>
      <c r="B51" s="59">
        <f t="shared" si="4"/>
        <v>6</v>
      </c>
      <c r="C51" s="27">
        <v>45993.047650462962</v>
      </c>
      <c r="D51" s="33" t="s">
        <v>18</v>
      </c>
      <c r="E51" s="34">
        <v>150</v>
      </c>
      <c r="F51" s="35">
        <v>0</v>
      </c>
      <c r="G51" s="57">
        <v>3.5959999999999998E-3</v>
      </c>
      <c r="H51" s="24">
        <v>1542805260</v>
      </c>
      <c r="I51" s="36">
        <v>37.6</v>
      </c>
      <c r="J51" s="39" t="s">
        <v>341</v>
      </c>
    </row>
    <row r="52" spans="1:10" ht="15" customHeight="1" x14ac:dyDescent="0.25">
      <c r="A52" s="113"/>
      <c r="B52" s="59">
        <f t="shared" si="4"/>
        <v>7</v>
      </c>
      <c r="C52" s="27">
        <v>45993.048148148147</v>
      </c>
      <c r="D52" s="33" t="s">
        <v>18</v>
      </c>
      <c r="E52" s="34">
        <v>200</v>
      </c>
      <c r="F52" s="35">
        <v>0</v>
      </c>
      <c r="G52" s="57">
        <v>4.5170000000000002E-3</v>
      </c>
      <c r="H52" s="24">
        <v>1542805260</v>
      </c>
      <c r="I52" s="36">
        <v>42.8</v>
      </c>
      <c r="J52" s="39" t="s">
        <v>341</v>
      </c>
    </row>
    <row r="53" spans="1:10" ht="15" customHeight="1" x14ac:dyDescent="0.25">
      <c r="A53" s="113"/>
      <c r="B53" s="59">
        <f t="shared" si="4"/>
        <v>8</v>
      </c>
      <c r="C53" s="27">
        <v>45993.048750000002</v>
      </c>
      <c r="D53" s="33" t="s">
        <v>18</v>
      </c>
      <c r="E53" s="34">
        <v>250</v>
      </c>
      <c r="F53" s="35">
        <v>273.14385905790158</v>
      </c>
      <c r="G53" s="57">
        <v>5.2630000000000003E-3</v>
      </c>
      <c r="H53" s="24">
        <v>1542805260</v>
      </c>
      <c r="I53" s="36">
        <v>51.2</v>
      </c>
      <c r="J53" s="38"/>
    </row>
    <row r="54" spans="1:10" ht="15" customHeight="1" x14ac:dyDescent="0.25">
      <c r="A54" s="113"/>
      <c r="B54" s="59">
        <f t="shared" si="4"/>
        <v>9</v>
      </c>
      <c r="C54" s="27">
        <v>45993.049467592587</v>
      </c>
      <c r="D54" s="33" t="s">
        <v>18</v>
      </c>
      <c r="E54" s="34">
        <v>300</v>
      </c>
      <c r="F54" s="35">
        <v>1798.4921566589351</v>
      </c>
      <c r="G54" s="57">
        <v>5.8710000000000004E-3</v>
      </c>
      <c r="H54" s="24">
        <v>1542805260</v>
      </c>
      <c r="I54" s="36">
        <v>62.6</v>
      </c>
      <c r="J54" s="39"/>
    </row>
    <row r="55" spans="1:10" ht="15" customHeight="1" x14ac:dyDescent="0.25">
      <c r="A55" s="113"/>
      <c r="B55" s="59">
        <f t="shared" si="4"/>
        <v>10</v>
      </c>
      <c r="C55" s="27">
        <v>45993.050520833327</v>
      </c>
      <c r="D55" s="33" t="s">
        <v>18</v>
      </c>
      <c r="E55" s="34">
        <v>400</v>
      </c>
      <c r="F55" s="35">
        <v>7025.3811136742124</v>
      </c>
      <c r="G55" s="57">
        <v>6.96E-3</v>
      </c>
      <c r="H55" s="24">
        <v>1542805260</v>
      </c>
      <c r="I55" s="36">
        <v>90.8</v>
      </c>
      <c r="J55" s="39"/>
    </row>
    <row r="56" spans="1:10" ht="15.75" customHeight="1" thickBot="1" x14ac:dyDescent="0.3">
      <c r="A56" s="114"/>
      <c r="B56" s="40">
        <f t="shared" si="4"/>
        <v>11</v>
      </c>
      <c r="C56" s="41">
        <v>45993.051944444444</v>
      </c>
      <c r="D56" s="42" t="s">
        <v>18</v>
      </c>
      <c r="E56" s="43">
        <v>500</v>
      </c>
      <c r="F56" s="44">
        <v>18231.514408602008</v>
      </c>
      <c r="G56" s="58">
        <v>7.4580000000000002E-3</v>
      </c>
      <c r="H56" s="74">
        <v>1542805260</v>
      </c>
      <c r="I56" s="46">
        <v>122.7</v>
      </c>
      <c r="J56" s="47"/>
    </row>
    <row r="57" spans="1:10" ht="15" customHeight="1" x14ac:dyDescent="0.25">
      <c r="A57" s="108">
        <v>6</v>
      </c>
      <c r="B57" s="48">
        <f>1+0</f>
        <v>1</v>
      </c>
      <c r="C57" s="49">
        <v>45993.067488425928</v>
      </c>
      <c r="D57" s="50" t="s">
        <v>46</v>
      </c>
      <c r="E57" s="51">
        <v>0</v>
      </c>
      <c r="F57" s="52">
        <v>0</v>
      </c>
      <c r="G57" s="56">
        <v>5.8719999999999996E-3</v>
      </c>
      <c r="H57" s="53">
        <v>1544506133</v>
      </c>
      <c r="I57" s="54">
        <v>50.8</v>
      </c>
      <c r="J57" s="55" t="s">
        <v>341</v>
      </c>
    </row>
    <row r="58" spans="1:10" ht="15" customHeight="1" x14ac:dyDescent="0.25">
      <c r="A58" s="109"/>
      <c r="B58" s="59">
        <f t="shared" ref="B58:B67" si="5">B57+1</f>
        <v>2</v>
      </c>
      <c r="C58" s="27">
        <v>45993.068101851852</v>
      </c>
      <c r="D58" s="33" t="s">
        <v>46</v>
      </c>
      <c r="E58" s="34">
        <v>4</v>
      </c>
      <c r="F58" s="35">
        <v>582.32780904939864</v>
      </c>
      <c r="G58" s="57">
        <v>5.293E-3</v>
      </c>
      <c r="H58" s="30">
        <v>1544506133</v>
      </c>
      <c r="I58" s="36">
        <v>52.6</v>
      </c>
      <c r="J58" s="39"/>
    </row>
    <row r="59" spans="1:10" ht="15" customHeight="1" x14ac:dyDescent="0.25">
      <c r="A59" s="109"/>
      <c r="B59" s="59">
        <f t="shared" si="5"/>
        <v>3</v>
      </c>
      <c r="C59" s="27">
        <v>45993.068703703713</v>
      </c>
      <c r="D59" s="33" t="s">
        <v>46</v>
      </c>
      <c r="E59" s="34">
        <v>8</v>
      </c>
      <c r="F59" s="35">
        <v>534.16721562545843</v>
      </c>
      <c r="G59" s="57">
        <v>5.2649999999999997E-3</v>
      </c>
      <c r="H59" s="30">
        <v>1544506133</v>
      </c>
      <c r="I59" s="36">
        <v>51.7</v>
      </c>
      <c r="J59" s="37"/>
    </row>
    <row r="60" spans="1:10" ht="15" customHeight="1" x14ac:dyDescent="0.25">
      <c r="A60" s="109"/>
      <c r="B60" s="59">
        <f t="shared" si="5"/>
        <v>4</v>
      </c>
      <c r="C60" s="27">
        <v>45993.069282407407</v>
      </c>
      <c r="D60" s="33" t="s">
        <v>46</v>
      </c>
      <c r="E60" s="34">
        <v>15</v>
      </c>
      <c r="F60" s="35">
        <v>234.846327911461</v>
      </c>
      <c r="G60" s="57">
        <v>5.2370000000000003E-3</v>
      </c>
      <c r="H60" s="30">
        <v>1544506133</v>
      </c>
      <c r="I60" s="36">
        <v>49.8</v>
      </c>
      <c r="J60" s="39"/>
    </row>
    <row r="61" spans="1:10" ht="15" customHeight="1" x14ac:dyDescent="0.25">
      <c r="A61" s="109"/>
      <c r="B61" s="60">
        <f t="shared" si="5"/>
        <v>5</v>
      </c>
      <c r="C61" s="28">
        <v>45993.069884259261</v>
      </c>
      <c r="D61" s="82" t="s">
        <v>46</v>
      </c>
      <c r="E61" s="26">
        <v>30</v>
      </c>
      <c r="F61" s="83">
        <v>619.07028949564267</v>
      </c>
      <c r="G61" s="84">
        <v>5.1879999999999999E-3</v>
      </c>
      <c r="H61" s="31">
        <v>1544506133</v>
      </c>
      <c r="I61" s="29">
        <v>52</v>
      </c>
      <c r="J61" s="85"/>
    </row>
    <row r="62" spans="1:10" ht="15" customHeight="1" x14ac:dyDescent="0.25">
      <c r="A62" s="113"/>
      <c r="B62" s="59">
        <f t="shared" si="5"/>
        <v>6</v>
      </c>
      <c r="C62" s="27">
        <v>45993.062673611108</v>
      </c>
      <c r="D62" s="33" t="s">
        <v>18</v>
      </c>
      <c r="E62" s="34">
        <v>150</v>
      </c>
      <c r="F62" s="35">
        <v>0</v>
      </c>
      <c r="G62" s="57">
        <v>3.604E-3</v>
      </c>
      <c r="H62" s="24">
        <v>1544103136</v>
      </c>
      <c r="I62" s="36">
        <v>37.700000000000003</v>
      </c>
      <c r="J62" s="39" t="s">
        <v>341</v>
      </c>
    </row>
    <row r="63" spans="1:10" ht="15" customHeight="1" x14ac:dyDescent="0.25">
      <c r="A63" s="113"/>
      <c r="B63" s="59">
        <f t="shared" si="5"/>
        <v>7</v>
      </c>
      <c r="C63" s="27">
        <v>45993.06318287037</v>
      </c>
      <c r="D63" s="33" t="s">
        <v>18</v>
      </c>
      <c r="E63" s="34">
        <v>200</v>
      </c>
      <c r="F63" s="35">
        <v>5.4616469228947757</v>
      </c>
      <c r="G63" s="57">
        <v>4.5100000000000001E-3</v>
      </c>
      <c r="H63" s="24">
        <v>1544103136</v>
      </c>
      <c r="I63" s="36">
        <v>43.8</v>
      </c>
      <c r="J63" s="39"/>
    </row>
    <row r="64" spans="1:10" ht="15" customHeight="1" x14ac:dyDescent="0.25">
      <c r="A64" s="113"/>
      <c r="B64" s="59">
        <f t="shared" si="5"/>
        <v>8</v>
      </c>
      <c r="C64" s="27">
        <v>45993.063773148147</v>
      </c>
      <c r="D64" s="33" t="s">
        <v>18</v>
      </c>
      <c r="E64" s="34">
        <v>250</v>
      </c>
      <c r="F64" s="35">
        <v>245.30274943812771</v>
      </c>
      <c r="G64" s="57">
        <v>5.2440000000000004E-3</v>
      </c>
      <c r="H64" s="24">
        <v>1544103136</v>
      </c>
      <c r="I64" s="36">
        <v>51.1</v>
      </c>
      <c r="J64" s="38"/>
    </row>
    <row r="65" spans="1:10" ht="15" customHeight="1" x14ac:dyDescent="0.25">
      <c r="A65" s="113"/>
      <c r="B65" s="59">
        <f t="shared" si="5"/>
        <v>9</v>
      </c>
      <c r="C65" s="27">
        <v>45993.064502314817</v>
      </c>
      <c r="D65" s="33" t="s">
        <v>18</v>
      </c>
      <c r="E65" s="34">
        <v>300</v>
      </c>
      <c r="F65" s="35">
        <v>1629.143848169407</v>
      </c>
      <c r="G65" s="57">
        <v>5.8950000000000001E-3</v>
      </c>
      <c r="H65" s="24">
        <v>1544103136</v>
      </c>
      <c r="I65" s="36">
        <v>62.4</v>
      </c>
      <c r="J65" s="39"/>
    </row>
    <row r="66" spans="1:10" ht="15" customHeight="1" x14ac:dyDescent="0.25">
      <c r="A66" s="113"/>
      <c r="B66" s="59">
        <f t="shared" si="5"/>
        <v>10</v>
      </c>
      <c r="C66" s="27">
        <v>45993.065509259257</v>
      </c>
      <c r="D66" s="33" t="s">
        <v>18</v>
      </c>
      <c r="E66" s="34">
        <v>400</v>
      </c>
      <c r="F66" s="35">
        <v>7151.1681969550364</v>
      </c>
      <c r="G66" s="57">
        <v>6.888E-3</v>
      </c>
      <c r="H66" s="24">
        <v>1544103136</v>
      </c>
      <c r="I66" s="36">
        <v>87.3</v>
      </c>
      <c r="J66" s="39"/>
    </row>
    <row r="67" spans="1:10" ht="15.75" customHeight="1" thickBot="1" x14ac:dyDescent="0.3">
      <c r="A67" s="114"/>
      <c r="B67" s="40">
        <f t="shared" si="5"/>
        <v>11</v>
      </c>
      <c r="C67" s="41">
        <v>45993.06690972222</v>
      </c>
      <c r="D67" s="42" t="s">
        <v>18</v>
      </c>
      <c r="E67" s="43">
        <v>500</v>
      </c>
      <c r="F67" s="44">
        <v>10121.472311342741</v>
      </c>
      <c r="G67" s="58">
        <v>7.5519999999999997E-3</v>
      </c>
      <c r="H67" s="74">
        <v>1544103136</v>
      </c>
      <c r="I67" s="46">
        <v>120.5</v>
      </c>
      <c r="J67" s="47"/>
    </row>
    <row r="68" spans="1:10" ht="15" customHeight="1" x14ac:dyDescent="0.25">
      <c r="A68" s="108">
        <v>7</v>
      </c>
      <c r="B68" s="48">
        <f>1+0</f>
        <v>1</v>
      </c>
      <c r="C68" s="49">
        <v>45993.082418981481</v>
      </c>
      <c r="D68" s="50" t="s">
        <v>46</v>
      </c>
      <c r="E68" s="51">
        <v>0</v>
      </c>
      <c r="F68" s="52">
        <v>0</v>
      </c>
      <c r="G68" s="56">
        <v>5.8110000000000002E-3</v>
      </c>
      <c r="H68" s="53">
        <v>1545795604</v>
      </c>
      <c r="I68" s="54">
        <v>50.5</v>
      </c>
      <c r="J68" s="55" t="s">
        <v>341</v>
      </c>
    </row>
    <row r="69" spans="1:10" ht="15" customHeight="1" x14ac:dyDescent="0.25">
      <c r="A69" s="109"/>
      <c r="B69" s="59">
        <f t="shared" ref="B69:B78" si="6">B68+1</f>
        <v>2</v>
      </c>
      <c r="C69" s="27">
        <v>45993.083009259259</v>
      </c>
      <c r="D69" s="33" t="s">
        <v>46</v>
      </c>
      <c r="E69" s="34">
        <v>4</v>
      </c>
      <c r="F69" s="35">
        <v>417.73518479707661</v>
      </c>
      <c r="G69" s="57">
        <v>5.2440000000000004E-3</v>
      </c>
      <c r="H69" s="30">
        <v>1545795604</v>
      </c>
      <c r="I69" s="36">
        <v>51.3</v>
      </c>
      <c r="J69" s="39"/>
    </row>
    <row r="70" spans="1:10" ht="15" customHeight="1" x14ac:dyDescent="0.25">
      <c r="A70" s="109"/>
      <c r="B70" s="59">
        <f t="shared" si="6"/>
        <v>3</v>
      </c>
      <c r="C70" s="27">
        <v>45993.083611111113</v>
      </c>
      <c r="D70" s="33" t="s">
        <v>46</v>
      </c>
      <c r="E70" s="34">
        <v>8</v>
      </c>
      <c r="F70" s="35">
        <v>833.8427411863878</v>
      </c>
      <c r="G70" s="57">
        <v>5.2560000000000003E-3</v>
      </c>
      <c r="H70" s="30">
        <v>1545795604</v>
      </c>
      <c r="I70" s="36">
        <v>51.6</v>
      </c>
      <c r="J70" s="37"/>
    </row>
    <row r="71" spans="1:10" ht="15" customHeight="1" x14ac:dyDescent="0.25">
      <c r="A71" s="109"/>
      <c r="B71" s="59">
        <f t="shared" si="6"/>
        <v>4</v>
      </c>
      <c r="C71" s="27">
        <v>45993.084189814806</v>
      </c>
      <c r="D71" s="33" t="s">
        <v>46</v>
      </c>
      <c r="E71" s="34">
        <v>15</v>
      </c>
      <c r="F71" s="35">
        <v>179.89280022702621</v>
      </c>
      <c r="G71" s="57">
        <v>5.1729999999999996E-3</v>
      </c>
      <c r="H71" s="30">
        <v>1545795604</v>
      </c>
      <c r="I71" s="36">
        <v>50.6</v>
      </c>
      <c r="J71" s="39"/>
    </row>
    <row r="72" spans="1:10" ht="15" customHeight="1" x14ac:dyDescent="0.25">
      <c r="A72" s="109"/>
      <c r="B72" s="60">
        <f t="shared" si="6"/>
        <v>5</v>
      </c>
      <c r="C72" s="28">
        <v>45993.084780092591</v>
      </c>
      <c r="D72" s="82" t="s">
        <v>46</v>
      </c>
      <c r="E72" s="26">
        <v>30</v>
      </c>
      <c r="F72" s="83">
        <v>719.39097092742634</v>
      </c>
      <c r="G72" s="84">
        <v>5.1349999999999998E-3</v>
      </c>
      <c r="H72" s="31">
        <v>1545795604</v>
      </c>
      <c r="I72" s="29">
        <v>51</v>
      </c>
      <c r="J72" s="85"/>
    </row>
    <row r="73" spans="1:10" ht="15" customHeight="1" x14ac:dyDescent="0.25">
      <c r="A73" s="113"/>
      <c r="B73" s="59">
        <f t="shared" si="6"/>
        <v>6</v>
      </c>
      <c r="C73" s="27">
        <v>45993.077534722222</v>
      </c>
      <c r="D73" s="33" t="s">
        <v>18</v>
      </c>
      <c r="E73" s="34">
        <v>150</v>
      </c>
      <c r="F73" s="35">
        <v>0</v>
      </c>
      <c r="G73" s="57">
        <v>3.6180000000000001E-3</v>
      </c>
      <c r="H73" s="24">
        <v>1545386726</v>
      </c>
      <c r="I73" s="36">
        <v>37.9</v>
      </c>
      <c r="J73" s="39" t="s">
        <v>341</v>
      </c>
    </row>
    <row r="74" spans="1:10" ht="15" customHeight="1" x14ac:dyDescent="0.25">
      <c r="A74" s="113"/>
      <c r="B74" s="59">
        <f t="shared" si="6"/>
        <v>7</v>
      </c>
      <c r="C74" s="27">
        <v>45993.078043981477</v>
      </c>
      <c r="D74" s="33" t="s">
        <v>18</v>
      </c>
      <c r="E74" s="34">
        <v>200</v>
      </c>
      <c r="F74" s="35">
        <v>2.9559184744809222</v>
      </c>
      <c r="G74" s="57">
        <v>4.5599999999999998E-3</v>
      </c>
      <c r="H74" s="24">
        <v>1545386726</v>
      </c>
      <c r="I74" s="36">
        <v>43.7</v>
      </c>
      <c r="J74" s="39"/>
    </row>
    <row r="75" spans="1:10" ht="15" customHeight="1" x14ac:dyDescent="0.25">
      <c r="A75" s="113"/>
      <c r="B75" s="59">
        <f t="shared" si="6"/>
        <v>8</v>
      </c>
      <c r="C75" s="27">
        <v>45993.078645833331</v>
      </c>
      <c r="D75" s="33" t="s">
        <v>18</v>
      </c>
      <c r="E75" s="34">
        <v>250</v>
      </c>
      <c r="F75" s="35">
        <v>768.00138304250243</v>
      </c>
      <c r="G75" s="57">
        <v>5.2659999999999998E-3</v>
      </c>
      <c r="H75" s="24">
        <v>1545386726</v>
      </c>
      <c r="I75" s="36">
        <v>52.1</v>
      </c>
      <c r="J75" s="38"/>
    </row>
    <row r="76" spans="1:10" ht="15" customHeight="1" x14ac:dyDescent="0.25">
      <c r="A76" s="113"/>
      <c r="B76" s="59">
        <f t="shared" si="6"/>
        <v>9</v>
      </c>
      <c r="C76" s="27">
        <v>45993.079375000001</v>
      </c>
      <c r="D76" s="33" t="s">
        <v>18</v>
      </c>
      <c r="E76" s="34">
        <v>300</v>
      </c>
      <c r="F76" s="35">
        <v>1656.252299939325</v>
      </c>
      <c r="G76" s="57">
        <v>5.8989999999999997E-3</v>
      </c>
      <c r="H76" s="24">
        <v>1545386726</v>
      </c>
      <c r="I76" s="36">
        <v>62.7</v>
      </c>
      <c r="J76" s="39"/>
    </row>
    <row r="77" spans="1:10" ht="15" customHeight="1" x14ac:dyDescent="0.25">
      <c r="A77" s="113"/>
      <c r="B77" s="59">
        <f t="shared" si="6"/>
        <v>10</v>
      </c>
      <c r="C77" s="27">
        <v>45993.080393518518</v>
      </c>
      <c r="D77" s="33" t="s">
        <v>18</v>
      </c>
      <c r="E77" s="34">
        <v>400</v>
      </c>
      <c r="F77" s="35">
        <v>8228.8140893849959</v>
      </c>
      <c r="G77" s="57">
        <v>6.8170000000000001E-3</v>
      </c>
      <c r="H77" s="24">
        <v>1545386726</v>
      </c>
      <c r="I77" s="36">
        <v>87.9</v>
      </c>
      <c r="J77" s="39"/>
    </row>
    <row r="78" spans="1:10" ht="15.75" customHeight="1" thickBot="1" x14ac:dyDescent="0.3">
      <c r="A78" s="114"/>
      <c r="B78" s="40">
        <f t="shared" si="6"/>
        <v>11</v>
      </c>
      <c r="C78" s="41">
        <v>45993.081828703696</v>
      </c>
      <c r="D78" s="42" t="s">
        <v>18</v>
      </c>
      <c r="E78" s="43">
        <v>500</v>
      </c>
      <c r="F78" s="44">
        <v>14969.524360980109</v>
      </c>
      <c r="G78" s="58">
        <v>7.4219999999999998E-3</v>
      </c>
      <c r="H78" s="74">
        <v>1545386726</v>
      </c>
      <c r="I78" s="46">
        <v>124.4</v>
      </c>
      <c r="J78" s="47"/>
    </row>
    <row r="79" spans="1:10" ht="15" customHeight="1" x14ac:dyDescent="0.25">
      <c r="A79" s="108">
        <v>8</v>
      </c>
      <c r="B79" s="48">
        <f>1+0</f>
        <v>1</v>
      </c>
      <c r="C79" s="49">
        <v>45993.097314814811</v>
      </c>
      <c r="D79" s="50" t="s">
        <v>46</v>
      </c>
      <c r="E79" s="51">
        <v>0</v>
      </c>
      <c r="F79" s="52">
        <v>0</v>
      </c>
      <c r="G79" s="56">
        <v>5.8110000000000002E-3</v>
      </c>
      <c r="H79" s="53">
        <v>1547082275</v>
      </c>
      <c r="I79" s="54">
        <v>50.9</v>
      </c>
      <c r="J79" s="55" t="s">
        <v>341</v>
      </c>
    </row>
    <row r="80" spans="1:10" ht="15" customHeight="1" x14ac:dyDescent="0.25">
      <c r="A80" s="109"/>
      <c r="B80" s="59">
        <f t="shared" ref="B80:B89" si="7">B79+1</f>
        <v>2</v>
      </c>
      <c r="C80" s="27">
        <v>45993.097893518519</v>
      </c>
      <c r="D80" s="33" t="s">
        <v>46</v>
      </c>
      <c r="E80" s="34">
        <v>4</v>
      </c>
      <c r="F80" s="35">
        <v>274.38662059331148</v>
      </c>
      <c r="G80" s="57">
        <v>5.1929999999999997E-3</v>
      </c>
      <c r="H80" s="30">
        <v>1547082275</v>
      </c>
      <c r="I80" s="36">
        <v>50.6</v>
      </c>
      <c r="J80" s="39"/>
    </row>
    <row r="81" spans="1:10" ht="15" customHeight="1" x14ac:dyDescent="0.25">
      <c r="A81" s="109"/>
      <c r="B81" s="59">
        <f t="shared" si="7"/>
        <v>3</v>
      </c>
      <c r="C81" s="27">
        <v>45993.09847222222</v>
      </c>
      <c r="D81" s="33" t="s">
        <v>46</v>
      </c>
      <c r="E81" s="34">
        <v>8</v>
      </c>
      <c r="F81" s="35">
        <v>495.04005358996721</v>
      </c>
      <c r="G81" s="57">
        <v>5.1789999999999996E-3</v>
      </c>
      <c r="H81" s="30">
        <v>1547082275</v>
      </c>
      <c r="I81" s="36">
        <v>49.9</v>
      </c>
      <c r="J81" s="37"/>
    </row>
    <row r="82" spans="1:10" ht="15" customHeight="1" x14ac:dyDescent="0.25">
      <c r="A82" s="109"/>
      <c r="B82" s="59">
        <f t="shared" si="7"/>
        <v>4</v>
      </c>
      <c r="C82" s="27">
        <v>45993.099062499998</v>
      </c>
      <c r="D82" s="33" t="s">
        <v>46</v>
      </c>
      <c r="E82" s="34">
        <v>15</v>
      </c>
      <c r="F82" s="35">
        <v>131.31175020859919</v>
      </c>
      <c r="G82" s="57">
        <v>5.1939999999999998E-3</v>
      </c>
      <c r="H82" s="30">
        <v>1547082275</v>
      </c>
      <c r="I82" s="36">
        <v>50.3</v>
      </c>
      <c r="J82" s="39"/>
    </row>
    <row r="83" spans="1:10" ht="15" customHeight="1" x14ac:dyDescent="0.25">
      <c r="A83" s="109"/>
      <c r="B83" s="60">
        <f t="shared" si="7"/>
        <v>5</v>
      </c>
      <c r="C83" s="28">
        <v>45993.099641203713</v>
      </c>
      <c r="D83" s="82" t="s">
        <v>46</v>
      </c>
      <c r="E83" s="26">
        <v>30</v>
      </c>
      <c r="F83" s="83">
        <v>514.25795186989183</v>
      </c>
      <c r="G83" s="84">
        <v>5.1149999999999998E-3</v>
      </c>
      <c r="H83" s="31">
        <v>1547082275</v>
      </c>
      <c r="I83" s="29">
        <v>50.3</v>
      </c>
      <c r="J83" s="85"/>
    </row>
    <row r="84" spans="1:10" ht="15" customHeight="1" x14ac:dyDescent="0.25">
      <c r="A84" s="113"/>
      <c r="B84" s="59">
        <f t="shared" si="7"/>
        <v>6</v>
      </c>
      <c r="C84" s="27">
        <v>45993.092465277783</v>
      </c>
      <c r="D84" s="33" t="s">
        <v>18</v>
      </c>
      <c r="E84" s="34">
        <v>150</v>
      </c>
      <c r="F84" s="35">
        <v>0</v>
      </c>
      <c r="G84" s="57">
        <v>3.6259999999999999E-3</v>
      </c>
      <c r="H84" s="24">
        <v>1546676209</v>
      </c>
      <c r="I84" s="36">
        <v>37.799999999999997</v>
      </c>
      <c r="J84" s="39" t="s">
        <v>341</v>
      </c>
    </row>
    <row r="85" spans="1:10" ht="15" customHeight="1" x14ac:dyDescent="0.25">
      <c r="A85" s="113"/>
      <c r="B85" s="59">
        <f t="shared" si="7"/>
        <v>7</v>
      </c>
      <c r="C85" s="27">
        <v>45993.092974537038</v>
      </c>
      <c r="D85" s="33" t="s">
        <v>18</v>
      </c>
      <c r="E85" s="34">
        <v>200</v>
      </c>
      <c r="F85" s="35">
        <v>5.6834169839903099</v>
      </c>
      <c r="G85" s="57">
        <v>4.5149999999999999E-3</v>
      </c>
      <c r="H85" s="24">
        <v>1546676209</v>
      </c>
      <c r="I85" s="36">
        <v>43.9</v>
      </c>
      <c r="J85" s="39"/>
    </row>
    <row r="86" spans="1:10" ht="15" customHeight="1" x14ac:dyDescent="0.25">
      <c r="A86" s="113"/>
      <c r="B86" s="59">
        <f t="shared" si="7"/>
        <v>8</v>
      </c>
      <c r="C86" s="27">
        <v>45993.093564814822</v>
      </c>
      <c r="D86" s="33" t="s">
        <v>18</v>
      </c>
      <c r="E86" s="34">
        <v>250</v>
      </c>
      <c r="F86" s="35">
        <v>391.79853490498027</v>
      </c>
      <c r="G86" s="57">
        <v>5.2900000000000004E-3</v>
      </c>
      <c r="H86" s="24">
        <v>1546676209</v>
      </c>
      <c r="I86" s="36">
        <v>51.3</v>
      </c>
      <c r="J86" s="38"/>
    </row>
    <row r="87" spans="1:10" ht="15" customHeight="1" x14ac:dyDescent="0.25">
      <c r="A87" s="113"/>
      <c r="B87" s="59">
        <f t="shared" si="7"/>
        <v>9</v>
      </c>
      <c r="C87" s="27">
        <v>45993.094282407408</v>
      </c>
      <c r="D87" s="33" t="s">
        <v>18</v>
      </c>
      <c r="E87" s="34">
        <v>300</v>
      </c>
      <c r="F87" s="35">
        <v>1627.5949152756129</v>
      </c>
      <c r="G87" s="57">
        <v>5.8960000000000002E-3</v>
      </c>
      <c r="H87" s="24">
        <v>1546676209</v>
      </c>
      <c r="I87" s="36">
        <v>62</v>
      </c>
      <c r="J87" s="39"/>
    </row>
    <row r="88" spans="1:10" ht="15" customHeight="1" x14ac:dyDescent="0.25">
      <c r="A88" s="113"/>
      <c r="B88" s="59">
        <f t="shared" si="7"/>
        <v>10</v>
      </c>
      <c r="C88" s="27">
        <v>45993.095289351862</v>
      </c>
      <c r="D88" s="33" t="s">
        <v>18</v>
      </c>
      <c r="E88" s="34">
        <v>400</v>
      </c>
      <c r="F88" s="35">
        <v>5839.2701231512656</v>
      </c>
      <c r="G88" s="57">
        <v>6.8519999999999996E-3</v>
      </c>
      <c r="H88" s="24">
        <v>1546676209</v>
      </c>
      <c r="I88" s="36">
        <v>86.9</v>
      </c>
      <c r="J88" s="39"/>
    </row>
    <row r="89" spans="1:10" ht="15.75" customHeight="1" thickBot="1" x14ac:dyDescent="0.3">
      <c r="A89" s="114"/>
      <c r="B89" s="40">
        <f t="shared" si="7"/>
        <v>11</v>
      </c>
      <c r="C89" s="41">
        <v>45993.096724537027</v>
      </c>
      <c r="D89" s="42" t="s">
        <v>18</v>
      </c>
      <c r="E89" s="43">
        <v>500</v>
      </c>
      <c r="F89" s="44">
        <v>16385.241557374109</v>
      </c>
      <c r="G89" s="58">
        <v>7.5929999999999999E-3</v>
      </c>
      <c r="H89" s="74">
        <v>1546676209</v>
      </c>
      <c r="I89" s="46">
        <v>124</v>
      </c>
      <c r="J89" s="47"/>
    </row>
    <row r="90" spans="1:10" ht="15" customHeight="1" x14ac:dyDescent="0.25">
      <c r="A90" s="108">
        <v>9</v>
      </c>
      <c r="B90" s="48">
        <f>1+0</f>
        <v>1</v>
      </c>
      <c r="C90" s="49">
        <v>45993.112314814818</v>
      </c>
      <c r="D90" s="50" t="s">
        <v>46</v>
      </c>
      <c r="E90" s="51">
        <v>0</v>
      </c>
      <c r="F90" s="52">
        <v>0</v>
      </c>
      <c r="G90" s="56">
        <v>5.8040000000000001E-3</v>
      </c>
      <c r="H90" s="53">
        <v>1548379014</v>
      </c>
      <c r="I90" s="54">
        <v>50.5</v>
      </c>
      <c r="J90" s="55" t="s">
        <v>341</v>
      </c>
    </row>
    <row r="91" spans="1:10" ht="15" customHeight="1" x14ac:dyDescent="0.25">
      <c r="A91" s="109"/>
      <c r="B91" s="59">
        <f t="shared" ref="B91:B100" si="8">B90+1</f>
        <v>2</v>
      </c>
      <c r="C91" s="27">
        <v>45993.112881944442</v>
      </c>
      <c r="D91" s="33" t="s">
        <v>46</v>
      </c>
      <c r="E91" s="34">
        <v>4</v>
      </c>
      <c r="F91" s="35">
        <v>168.06667188356289</v>
      </c>
      <c r="G91" s="57">
        <v>5.1799999999999997E-3</v>
      </c>
      <c r="H91" s="30">
        <v>1548379014</v>
      </c>
      <c r="I91" s="36">
        <v>48.9</v>
      </c>
      <c r="J91" s="39"/>
    </row>
    <row r="92" spans="1:10" ht="15" customHeight="1" x14ac:dyDescent="0.25">
      <c r="A92" s="109"/>
      <c r="B92" s="59">
        <f t="shared" si="8"/>
        <v>3</v>
      </c>
      <c r="C92" s="27">
        <v>45993.113449074073</v>
      </c>
      <c r="D92" s="33" t="s">
        <v>46</v>
      </c>
      <c r="E92" s="34">
        <v>8</v>
      </c>
      <c r="F92" s="35">
        <v>22.993171848522081</v>
      </c>
      <c r="G92" s="57">
        <v>5.1840000000000002E-3</v>
      </c>
      <c r="H92" s="30">
        <v>1548379014</v>
      </c>
      <c r="I92" s="36">
        <v>49.3</v>
      </c>
      <c r="J92" s="37"/>
    </row>
    <row r="93" spans="1:10" ht="15" customHeight="1" x14ac:dyDescent="0.25">
      <c r="A93" s="109"/>
      <c r="B93" s="59">
        <f t="shared" si="8"/>
        <v>4</v>
      </c>
      <c r="C93" s="27">
        <v>45993.114039351851</v>
      </c>
      <c r="D93" s="33" t="s">
        <v>46</v>
      </c>
      <c r="E93" s="34">
        <v>15</v>
      </c>
      <c r="F93" s="35">
        <v>767.69081430832273</v>
      </c>
      <c r="G93" s="57">
        <v>5.1830000000000001E-3</v>
      </c>
      <c r="H93" s="30">
        <v>1548379014</v>
      </c>
      <c r="I93" s="36">
        <v>51.1</v>
      </c>
      <c r="J93" s="39"/>
    </row>
    <row r="94" spans="1:10" ht="15" customHeight="1" x14ac:dyDescent="0.25">
      <c r="A94" s="109"/>
      <c r="B94" s="60">
        <f t="shared" si="8"/>
        <v>5</v>
      </c>
      <c r="C94" s="28">
        <v>45993.114629629628</v>
      </c>
      <c r="D94" s="82" t="s">
        <v>46</v>
      </c>
      <c r="E94" s="26">
        <v>30</v>
      </c>
      <c r="F94" s="83">
        <v>549.43211602299527</v>
      </c>
      <c r="G94" s="84">
        <v>5.0629999999999998E-3</v>
      </c>
      <c r="H94" s="31">
        <v>1548379014</v>
      </c>
      <c r="I94" s="29">
        <v>50.8</v>
      </c>
      <c r="J94" s="85"/>
    </row>
    <row r="95" spans="1:10" ht="15" customHeight="1" x14ac:dyDescent="0.25">
      <c r="A95" s="113"/>
      <c r="B95" s="59">
        <f t="shared" si="8"/>
        <v>6</v>
      </c>
      <c r="C95" s="27">
        <v>45993.107418981483</v>
      </c>
      <c r="D95" s="33" t="s">
        <v>18</v>
      </c>
      <c r="E95" s="34">
        <v>150</v>
      </c>
      <c r="F95" s="35">
        <v>0</v>
      </c>
      <c r="G95" s="57">
        <v>3.5850000000000001E-3</v>
      </c>
      <c r="H95" s="24">
        <v>1547968720</v>
      </c>
      <c r="I95" s="36">
        <v>37.5</v>
      </c>
      <c r="J95" s="39" t="s">
        <v>341</v>
      </c>
    </row>
    <row r="96" spans="1:10" ht="15" customHeight="1" x14ac:dyDescent="0.25">
      <c r="A96" s="113"/>
      <c r="B96" s="59">
        <f t="shared" si="8"/>
        <v>7</v>
      </c>
      <c r="C96" s="27">
        <v>45993.107916666668</v>
      </c>
      <c r="D96" s="33" t="s">
        <v>18</v>
      </c>
      <c r="E96" s="34">
        <v>200</v>
      </c>
      <c r="F96" s="35">
        <v>0</v>
      </c>
      <c r="G96" s="57">
        <v>4.5019999999999999E-3</v>
      </c>
      <c r="H96" s="24">
        <v>1547968720</v>
      </c>
      <c r="I96" s="36">
        <v>43.4</v>
      </c>
      <c r="J96" s="39" t="s">
        <v>341</v>
      </c>
    </row>
    <row r="97" spans="1:10" ht="15" customHeight="1" x14ac:dyDescent="0.25">
      <c r="A97" s="113"/>
      <c r="B97" s="59">
        <f t="shared" si="8"/>
        <v>8</v>
      </c>
      <c r="C97" s="27">
        <v>45993.108518518522</v>
      </c>
      <c r="D97" s="33" t="s">
        <v>18</v>
      </c>
      <c r="E97" s="34">
        <v>250</v>
      </c>
      <c r="F97" s="35">
        <v>417.3479348317785</v>
      </c>
      <c r="G97" s="57">
        <v>5.2630000000000003E-3</v>
      </c>
      <c r="H97" s="24">
        <v>1547968720</v>
      </c>
      <c r="I97" s="36">
        <v>51.6</v>
      </c>
      <c r="J97" s="38"/>
    </row>
    <row r="98" spans="1:10" ht="15" customHeight="1" x14ac:dyDescent="0.25">
      <c r="A98" s="113"/>
      <c r="B98" s="59">
        <f t="shared" si="8"/>
        <v>9</v>
      </c>
      <c r="C98" s="27">
        <v>45993.109236111108</v>
      </c>
      <c r="D98" s="33" t="s">
        <v>18</v>
      </c>
      <c r="E98" s="34">
        <v>300</v>
      </c>
      <c r="F98" s="35">
        <v>2246.4376343684389</v>
      </c>
      <c r="G98" s="57">
        <v>5.914E-3</v>
      </c>
      <c r="H98" s="24">
        <v>1547968720</v>
      </c>
      <c r="I98" s="36">
        <v>62.4</v>
      </c>
      <c r="J98" s="39"/>
    </row>
    <row r="99" spans="1:10" ht="15" customHeight="1" x14ac:dyDescent="0.25">
      <c r="A99" s="113"/>
      <c r="B99" s="59">
        <f t="shared" si="8"/>
        <v>10</v>
      </c>
      <c r="C99" s="27">
        <v>45993.110254629632</v>
      </c>
      <c r="D99" s="33" t="s">
        <v>18</v>
      </c>
      <c r="E99" s="34">
        <v>400</v>
      </c>
      <c r="F99" s="35">
        <v>8463.0174254656122</v>
      </c>
      <c r="G99" s="57">
        <v>6.8890000000000002E-3</v>
      </c>
      <c r="H99" s="24">
        <v>1547968720</v>
      </c>
      <c r="I99" s="36">
        <v>88</v>
      </c>
      <c r="J99" s="39"/>
    </row>
    <row r="100" spans="1:10" ht="15.75" customHeight="1" thickBot="1" x14ac:dyDescent="0.3">
      <c r="A100" s="114"/>
      <c r="B100" s="40">
        <f t="shared" si="8"/>
        <v>11</v>
      </c>
      <c r="C100" s="41">
        <v>45993.11173611111</v>
      </c>
      <c r="D100" s="42" t="s">
        <v>18</v>
      </c>
      <c r="E100" s="43">
        <v>500</v>
      </c>
      <c r="F100" s="44">
        <v>21383.329124576168</v>
      </c>
      <c r="G100" s="58">
        <v>7.7499999999999999E-3</v>
      </c>
      <c r="H100" s="74">
        <v>1547968720</v>
      </c>
      <c r="I100" s="46">
        <v>127.2</v>
      </c>
      <c r="J100" s="47"/>
    </row>
    <row r="101" spans="1:10" ht="15" customHeight="1" x14ac:dyDescent="0.25">
      <c r="A101" s="108">
        <v>10</v>
      </c>
      <c r="B101" s="48">
        <f>1+0</f>
        <v>1</v>
      </c>
      <c r="C101" s="49">
        <v>45993.127268518518</v>
      </c>
      <c r="D101" s="50" t="s">
        <v>46</v>
      </c>
      <c r="E101" s="51">
        <v>0</v>
      </c>
      <c r="F101" s="52">
        <v>0</v>
      </c>
      <c r="G101" s="56">
        <v>5.8170000000000001E-3</v>
      </c>
      <c r="H101" s="53">
        <v>1549671122</v>
      </c>
      <c r="I101" s="54">
        <v>50.5</v>
      </c>
      <c r="J101" s="55" t="s">
        <v>341</v>
      </c>
    </row>
    <row r="102" spans="1:10" ht="15" customHeight="1" x14ac:dyDescent="0.25">
      <c r="A102" s="109"/>
      <c r="B102" s="59">
        <f t="shared" ref="B102:B111" si="9">B101+1</f>
        <v>2</v>
      </c>
      <c r="C102" s="27">
        <v>45993.127858796302</v>
      </c>
      <c r="D102" s="33" t="s">
        <v>46</v>
      </c>
      <c r="E102" s="34">
        <v>4</v>
      </c>
      <c r="F102" s="35">
        <v>281.05752034326082</v>
      </c>
      <c r="G102" s="57">
        <v>5.2350000000000001E-3</v>
      </c>
      <c r="H102" s="30">
        <v>1549671122</v>
      </c>
      <c r="I102" s="36">
        <v>51</v>
      </c>
      <c r="J102" s="39"/>
    </row>
    <row r="103" spans="1:10" ht="15" customHeight="1" x14ac:dyDescent="0.25">
      <c r="A103" s="109"/>
      <c r="B103" s="59">
        <f t="shared" si="9"/>
        <v>3</v>
      </c>
      <c r="C103" s="27">
        <v>45993.128449074073</v>
      </c>
      <c r="D103" s="33" t="s">
        <v>46</v>
      </c>
      <c r="E103" s="34">
        <v>8</v>
      </c>
      <c r="F103" s="35">
        <v>414.03445028419952</v>
      </c>
      <c r="G103" s="57">
        <v>5.2230000000000002E-3</v>
      </c>
      <c r="H103" s="30">
        <v>1549671122</v>
      </c>
      <c r="I103" s="36">
        <v>50.2</v>
      </c>
      <c r="J103" s="37"/>
    </row>
    <row r="104" spans="1:10" ht="15" customHeight="1" x14ac:dyDescent="0.25">
      <c r="A104" s="109"/>
      <c r="B104" s="59">
        <f t="shared" si="9"/>
        <v>4</v>
      </c>
      <c r="C104" s="27">
        <v>45993.129016203697</v>
      </c>
      <c r="D104" s="33" t="s">
        <v>46</v>
      </c>
      <c r="E104" s="34">
        <v>15</v>
      </c>
      <c r="F104" s="35">
        <v>28.333486437567039</v>
      </c>
      <c r="G104" s="57">
        <v>5.1980000000000004E-3</v>
      </c>
      <c r="H104" s="30">
        <v>1549671122</v>
      </c>
      <c r="I104" s="36">
        <v>49.8</v>
      </c>
      <c r="J104" s="39"/>
    </row>
    <row r="105" spans="1:10" ht="15" customHeight="1" x14ac:dyDescent="0.25">
      <c r="A105" s="109"/>
      <c r="B105" s="60">
        <f t="shared" si="9"/>
        <v>5</v>
      </c>
      <c r="C105" s="28">
        <v>45993.129594907397</v>
      </c>
      <c r="D105" s="82" t="s">
        <v>46</v>
      </c>
      <c r="E105" s="26">
        <v>30</v>
      </c>
      <c r="F105" s="83">
        <v>351.48784936554301</v>
      </c>
      <c r="G105" s="84">
        <v>5.104E-3</v>
      </c>
      <c r="H105" s="31">
        <v>1549671122</v>
      </c>
      <c r="I105" s="29">
        <v>49.9</v>
      </c>
      <c r="J105" s="85"/>
    </row>
    <row r="106" spans="1:10" ht="15" customHeight="1" x14ac:dyDescent="0.25">
      <c r="A106" s="113"/>
      <c r="B106" s="59">
        <f t="shared" si="9"/>
        <v>6</v>
      </c>
      <c r="C106" s="27">
        <v>45993.122407407413</v>
      </c>
      <c r="D106" s="33" t="s">
        <v>18</v>
      </c>
      <c r="E106" s="34">
        <v>150</v>
      </c>
      <c r="F106" s="35">
        <v>0</v>
      </c>
      <c r="G106" s="57">
        <v>3.581E-3</v>
      </c>
      <c r="H106" s="24">
        <v>1549263539</v>
      </c>
      <c r="I106" s="36">
        <v>37.6</v>
      </c>
      <c r="J106" s="39" t="s">
        <v>341</v>
      </c>
    </row>
    <row r="107" spans="1:10" ht="15" customHeight="1" x14ac:dyDescent="0.25">
      <c r="A107" s="113"/>
      <c r="B107" s="59">
        <f t="shared" si="9"/>
        <v>7</v>
      </c>
      <c r="C107" s="27">
        <v>45993.12290509259</v>
      </c>
      <c r="D107" s="33" t="s">
        <v>18</v>
      </c>
      <c r="E107" s="34">
        <v>200</v>
      </c>
      <c r="F107" s="35">
        <v>16.23745009934186</v>
      </c>
      <c r="G107" s="57">
        <v>4.4749999999999998E-3</v>
      </c>
      <c r="H107" s="24">
        <v>1549263539</v>
      </c>
      <c r="I107" s="36">
        <v>43.1</v>
      </c>
      <c r="J107" s="39"/>
    </row>
    <row r="108" spans="1:10" ht="15" customHeight="1" x14ac:dyDescent="0.25">
      <c r="A108" s="113"/>
      <c r="B108" s="59">
        <f t="shared" si="9"/>
        <v>8</v>
      </c>
      <c r="C108" s="27">
        <v>45993.123483796298</v>
      </c>
      <c r="D108" s="33" t="s">
        <v>18</v>
      </c>
      <c r="E108" s="34">
        <v>250</v>
      </c>
      <c r="F108" s="35">
        <v>117.2424305866486</v>
      </c>
      <c r="G108" s="57">
        <v>5.241E-3</v>
      </c>
      <c r="H108" s="24">
        <v>1549263539</v>
      </c>
      <c r="I108" s="36">
        <v>50.4</v>
      </c>
      <c r="J108" s="38"/>
    </row>
    <row r="109" spans="1:10" ht="15" customHeight="1" x14ac:dyDescent="0.25">
      <c r="A109" s="113"/>
      <c r="B109" s="59">
        <f t="shared" si="9"/>
        <v>9</v>
      </c>
      <c r="C109" s="27">
        <v>45993.124212962961</v>
      </c>
      <c r="D109" s="33" t="s">
        <v>18</v>
      </c>
      <c r="E109" s="34">
        <v>300</v>
      </c>
      <c r="F109" s="35">
        <v>1888.908520468857</v>
      </c>
      <c r="G109" s="57">
        <v>5.8789999999999997E-3</v>
      </c>
      <c r="H109" s="24">
        <v>1549263539</v>
      </c>
      <c r="I109" s="36">
        <v>62.8</v>
      </c>
      <c r="J109" s="39"/>
    </row>
    <row r="110" spans="1:10" ht="15" customHeight="1" x14ac:dyDescent="0.25">
      <c r="A110" s="113"/>
      <c r="B110" s="59">
        <f t="shared" si="9"/>
        <v>10</v>
      </c>
      <c r="C110" s="27">
        <v>45993.125243055547</v>
      </c>
      <c r="D110" s="33" t="s">
        <v>18</v>
      </c>
      <c r="E110" s="34">
        <v>400</v>
      </c>
      <c r="F110" s="35">
        <v>9152.2517055874032</v>
      </c>
      <c r="G110" s="57">
        <v>6.8500000000000002E-3</v>
      </c>
      <c r="H110" s="24">
        <v>1549263539</v>
      </c>
      <c r="I110" s="36">
        <v>89.4</v>
      </c>
      <c r="J110" s="39"/>
    </row>
    <row r="111" spans="1:10" ht="15.75" customHeight="1" thickBot="1" x14ac:dyDescent="0.3">
      <c r="A111" s="114"/>
      <c r="B111" s="40">
        <f t="shared" si="9"/>
        <v>11</v>
      </c>
      <c r="C111" s="41">
        <v>45993.126689814817</v>
      </c>
      <c r="D111" s="42" t="s">
        <v>18</v>
      </c>
      <c r="E111" s="43">
        <v>500</v>
      </c>
      <c r="F111" s="44">
        <v>16702.943306646121</v>
      </c>
      <c r="G111" s="58">
        <v>7.4590000000000004E-3</v>
      </c>
      <c r="H111" s="74">
        <v>1549263539</v>
      </c>
      <c r="I111" s="46">
        <v>124.1</v>
      </c>
      <c r="J111" s="47"/>
    </row>
    <row r="114" spans="1:13" x14ac:dyDescent="0.25">
      <c r="L114" s="23"/>
      <c r="M114" s="23"/>
    </row>
    <row r="115" spans="1:13" ht="16.5" thickBot="1" x14ac:dyDescent="0.3">
      <c r="A115" s="111" t="s">
        <v>354</v>
      </c>
      <c r="B115" s="111"/>
      <c r="C115" s="111"/>
      <c r="D115" s="111"/>
      <c r="E115" s="111"/>
      <c r="F115" s="111"/>
      <c r="G115" s="111"/>
      <c r="L115" s="23"/>
      <c r="M115" s="23"/>
    </row>
    <row r="116" spans="1:13" x14ac:dyDescent="0.25">
      <c r="A116" s="69" t="s">
        <v>355</v>
      </c>
      <c r="B116" s="69" t="s">
        <v>352</v>
      </c>
      <c r="C116" s="69" t="s">
        <v>353</v>
      </c>
      <c r="D116" s="69" t="s">
        <v>346</v>
      </c>
      <c r="E116" s="99" t="s">
        <v>347</v>
      </c>
      <c r="F116" s="99" t="s">
        <v>348</v>
      </c>
      <c r="G116" s="69" t="s">
        <v>349</v>
      </c>
      <c r="I116" s="87" t="s">
        <v>355</v>
      </c>
      <c r="J116" s="100" t="s">
        <v>427</v>
      </c>
      <c r="K116" s="90" t="s">
        <v>425</v>
      </c>
      <c r="L116" s="23"/>
      <c r="M116" s="23"/>
    </row>
    <row r="117" spans="1:13" x14ac:dyDescent="0.25">
      <c r="A117">
        <v>0</v>
      </c>
      <c r="B117" s="86">
        <f>AVERAGE(F2,F13,F24,F35,F46,F57,F68,F79,F90,F101)</f>
        <v>0</v>
      </c>
      <c r="C117" s="23">
        <f>_xlfn.STDEV.S(F2,F13,F24,F35,F46,F57,F68,F79,F90,F101)</f>
        <v>0</v>
      </c>
      <c r="D117">
        <f>IF(B117&gt;1, C117/B117*100, 0)</f>
        <v>0</v>
      </c>
      <c r="E117" s="92">
        <f>AVERAGE(G2,G13,G24,G35,G46,G57,G68,G79,G90,G101)</f>
        <v>5.8343000000000006E-3</v>
      </c>
      <c r="F117" s="92">
        <f>_xlfn.STDEV.S(G2,G13,G24,G35,G46,G57,G68,G79,G90,G101)</f>
        <v>2.3551598200074828E-5</v>
      </c>
      <c r="G117" s="23" t="str">
        <f>10 - COUNTA(J2,J13,J24,J35,J46,J57,J68,J79,J90,J101) &amp; "/" &amp; 10</f>
        <v>0/10</v>
      </c>
      <c r="I117" s="91">
        <f>A117</f>
        <v>0</v>
      </c>
      <c r="J117" s="77">
        <f>IF(C117&lt;&gt;0,LOG10(C117),0)</f>
        <v>0</v>
      </c>
      <c r="K117" s="101">
        <f>IF(C117&lt;&gt;0,(LOG10(B117+C117)-LOG10(B117)),0)</f>
        <v>0</v>
      </c>
      <c r="L117" s="23"/>
      <c r="M117" s="23"/>
    </row>
    <row r="118" spans="1:13" x14ac:dyDescent="0.25">
      <c r="A118">
        <v>4</v>
      </c>
      <c r="B118" s="86">
        <f t="shared" ref="B118:B121" si="10">AVERAGE(F3,F14,F25,F36,F47,F58,F69,F80,F91,F102)</f>
        <v>511.427937955419</v>
      </c>
      <c r="C118" s="23">
        <f>_xlfn.STDEV.S(F3,F14,F25,F36,F47,F58,F69,F80,F91,F102)</f>
        <v>337.1406020713203</v>
      </c>
      <c r="D118" s="23">
        <f>IF(B118&gt;1, C118/B118*100, 0)</f>
        <v>65.921428426287648</v>
      </c>
      <c r="E118" s="92">
        <f t="shared" ref="E118:E121" si="11">AVERAGE(G3,G14,G25,G36,G47,G58,G69,G80,G91,G102)</f>
        <v>5.2305999999999993E-3</v>
      </c>
      <c r="F118" s="92">
        <f t="shared" ref="F118:F121" si="12">_xlfn.STDEV.S(G3,G14,G25,G36,G47,G58,G69,G80,G91,G102)</f>
        <v>3.7517995682072449E-5</v>
      </c>
      <c r="G118" s="23" t="str">
        <f>10 - COUNTA(J3,J14,J25,J36,J47,J58,J69,J80,J91,J102) &amp; "/" &amp; 10</f>
        <v>10/10</v>
      </c>
      <c r="I118" s="91">
        <f>A118</f>
        <v>4</v>
      </c>
      <c r="J118" s="77">
        <f>IF(B118&lt;&gt;0,LOG10(B118),0)</f>
        <v>2.7087844486970885</v>
      </c>
      <c r="K118" s="101">
        <f t="shared" ref="K118:K121" si="13">IF(C118&lt;&gt;0,(LOG10(B118+C118)-LOG10(B118)),0)</f>
        <v>0.21990247792505357</v>
      </c>
      <c r="L118" s="23"/>
      <c r="M118" s="23"/>
    </row>
    <row r="119" spans="1:13" x14ac:dyDescent="0.25">
      <c r="A119">
        <v>8</v>
      </c>
      <c r="B119" s="86">
        <f t="shared" si="10"/>
        <v>411.30501876115267</v>
      </c>
      <c r="C119" s="23">
        <f>_xlfn.STDEV.S(F4,F15,F26,F37,F48,F59,F70,F81,F92,F103)</f>
        <v>230.09704126546575</v>
      </c>
      <c r="D119" s="23">
        <f>IF(B119&gt;1, C119/B119*100, 0)</f>
        <v>55.943164019373292</v>
      </c>
      <c r="E119" s="92">
        <f t="shared" si="11"/>
        <v>5.2239000000000009E-3</v>
      </c>
      <c r="F119" s="92">
        <f t="shared" si="12"/>
        <v>3.5063276135200636E-5</v>
      </c>
      <c r="G119" s="23" t="str">
        <f>10 - COUNTA(J4,J15,J26,J37,J48,J59,J70,J81,J92,J103) &amp; "/" &amp; 10</f>
        <v>10/10</v>
      </c>
      <c r="I119" s="91">
        <f>A119</f>
        <v>8</v>
      </c>
      <c r="J119" s="77">
        <f t="shared" ref="J119:J121" si="14">IF(B119&lt;&gt;0,LOG10(B119),0)</f>
        <v>2.614164008821056</v>
      </c>
      <c r="K119" s="101">
        <f t="shared" si="13"/>
        <v>0.19296634162131276</v>
      </c>
      <c r="L119" s="23"/>
      <c r="M119" s="23"/>
    </row>
    <row r="120" spans="1:13" x14ac:dyDescent="0.25">
      <c r="A120">
        <v>15</v>
      </c>
      <c r="B120" s="86">
        <f t="shared" si="10"/>
        <v>349.29054698131137</v>
      </c>
      <c r="C120" s="23">
        <f>_xlfn.STDEV.S(F5,F16,F27,F38,F49,F60,F71,F82,F93,F104)</f>
        <v>280.09392858238601</v>
      </c>
      <c r="D120" s="23">
        <f>IF(B120&gt;1, C120/B120*100, 0)</f>
        <v>80.189381305349869</v>
      </c>
      <c r="E120" s="92">
        <f t="shared" si="11"/>
        <v>5.1985999999999994E-3</v>
      </c>
      <c r="F120" s="92">
        <f t="shared" si="12"/>
        <v>3.125593277016933E-5</v>
      </c>
      <c r="G120" s="23" t="str">
        <f>10 - COUNTA(J5,J16,J27,J38,J49,J60,J71,J82,J93,J104) &amp; "/" &amp; 10</f>
        <v>10/10</v>
      </c>
      <c r="I120" s="91">
        <f>A120</f>
        <v>15</v>
      </c>
      <c r="J120" s="77">
        <f t="shared" si="14"/>
        <v>2.5431868322754756</v>
      </c>
      <c r="K120" s="101">
        <f t="shared" si="13"/>
        <v>0.25572919409935579</v>
      </c>
      <c r="L120" s="23"/>
      <c r="M120" s="23"/>
    </row>
    <row r="121" spans="1:13" ht="15.75" thickBot="1" x14ac:dyDescent="0.3">
      <c r="A121">
        <v>30</v>
      </c>
      <c r="B121" s="86">
        <f t="shared" si="10"/>
        <v>528.20224013066388</v>
      </c>
      <c r="C121" s="23">
        <f>_xlfn.STDEV.S(F6,F17,F28,F39,F50,F61,F72,F83,F94,F105)</f>
        <v>247.36420809863296</v>
      </c>
      <c r="D121" s="23">
        <f>IF(B121&gt;1, C121/B121*100, 0)</f>
        <v>46.831344001388807</v>
      </c>
      <c r="E121" s="92">
        <f t="shared" si="11"/>
        <v>5.1289999999999999E-3</v>
      </c>
      <c r="F121" s="92">
        <f t="shared" si="12"/>
        <v>4.6958610617341588E-5</v>
      </c>
      <c r="G121" s="23" t="str">
        <f>10 - COUNTA(J6,J17,J28,J39,J50,J61,J72,J83,J94,J105) &amp; "/" &amp; 10</f>
        <v>10/10</v>
      </c>
      <c r="I121" s="93">
        <f>A121</f>
        <v>30</v>
      </c>
      <c r="J121" s="94">
        <f t="shared" si="14"/>
        <v>2.722800238738234</v>
      </c>
      <c r="K121" s="102">
        <f t="shared" si="13"/>
        <v>0.16681877406650569</v>
      </c>
      <c r="L121" s="23"/>
      <c r="M121" s="23"/>
    </row>
    <row r="122" spans="1:13" x14ac:dyDescent="0.25">
      <c r="B122" s="86"/>
      <c r="E122" s="92"/>
      <c r="L122" s="23"/>
      <c r="M122" s="23"/>
    </row>
    <row r="123" spans="1:13" x14ac:dyDescent="0.25">
      <c r="B123" s="86"/>
      <c r="L123" s="23"/>
      <c r="M123" s="23"/>
    </row>
    <row r="124" spans="1:13" x14ac:dyDescent="0.25">
      <c r="L124" s="23"/>
      <c r="M124" s="23"/>
    </row>
    <row r="125" spans="1:13" x14ac:dyDescent="0.25">
      <c r="L125" s="23"/>
      <c r="M125" s="23"/>
    </row>
    <row r="126" spans="1:13" ht="16.5" thickBot="1" x14ac:dyDescent="0.3">
      <c r="A126" s="112" t="s">
        <v>350</v>
      </c>
      <c r="B126" s="112"/>
      <c r="C126" s="112"/>
      <c r="D126" s="112"/>
      <c r="E126" s="112"/>
      <c r="F126" s="112"/>
      <c r="G126" s="112"/>
      <c r="L126" s="23"/>
      <c r="M126" s="23"/>
    </row>
    <row r="127" spans="1:13" x14ac:dyDescent="0.25">
      <c r="A127" s="69" t="s">
        <v>351</v>
      </c>
      <c r="B127" s="69" t="s">
        <v>352</v>
      </c>
      <c r="C127" s="69" t="s">
        <v>353</v>
      </c>
      <c r="D127" s="69" t="s">
        <v>346</v>
      </c>
      <c r="E127" s="99" t="s">
        <v>347</v>
      </c>
      <c r="F127" s="99" t="s">
        <v>348</v>
      </c>
      <c r="G127" s="69" t="s">
        <v>349</v>
      </c>
      <c r="I127" s="87" t="s">
        <v>351</v>
      </c>
      <c r="J127" s="100" t="s">
        <v>427</v>
      </c>
      <c r="K127" s="89" t="s">
        <v>425</v>
      </c>
      <c r="L127" s="89" t="s">
        <v>422</v>
      </c>
      <c r="M127" s="90" t="s">
        <v>423</v>
      </c>
    </row>
    <row r="128" spans="1:13" x14ac:dyDescent="0.25">
      <c r="A128">
        <v>150</v>
      </c>
      <c r="B128" s="86">
        <f t="shared" ref="B128:B133" si="15">AVERAGE(F7,F18,F29,F40,F51,F62,F73,F84,F95,F106)</f>
        <v>0</v>
      </c>
      <c r="C128" s="23">
        <f>_xlfn.STDEV.S(F7,F18,F29,F40,F51,F62,F73,F84,F95,F106)</f>
        <v>0</v>
      </c>
      <c r="D128" s="23">
        <f>IF(B128&gt;1, C128/B128*100, 0)</f>
        <v>0</v>
      </c>
      <c r="E128" s="92">
        <f>AVERAGE(G7,G18,G29,G40,G51,G62,G73,G84,G95,G106)</f>
        <v>3.5983E-3</v>
      </c>
      <c r="F128" s="92">
        <f>_xlfn.STDEV.S(G7,G18,G29,G40,G51,G62,G73,G84,G95,G106)</f>
        <v>1.6983979379272549E-5</v>
      </c>
      <c r="G128" s="23" t="str">
        <f t="shared" ref="G128:G133" si="16">10 - COUNTA(J7,J18,J29,J40,J51,J62,J73,J84,J95,J106) &amp; "/" &amp; 10</f>
        <v>0/10</v>
      </c>
      <c r="I128" s="91">
        <f t="shared" ref="I128:I133" si="17">A128</f>
        <v>150</v>
      </c>
      <c r="J128" s="77">
        <f t="shared" ref="J128" si="18">IF(C128&lt;&gt;0,LOG10(C128),0)</f>
        <v>0</v>
      </c>
      <c r="K128" s="76">
        <f>IF(C128&lt;&gt;0,(LOG10(B128+C128)-LOG10(B128)),0)</f>
        <v>0</v>
      </c>
      <c r="L128" s="77"/>
      <c r="M128" s="39"/>
    </row>
    <row r="129" spans="1:13" x14ac:dyDescent="0.25">
      <c r="A129">
        <v>200</v>
      </c>
      <c r="B129" s="86">
        <f t="shared" si="15"/>
        <v>46.236002283705162</v>
      </c>
      <c r="C129" s="23">
        <f t="shared" ref="C129:C133" si="19">_xlfn.STDEV.S(F8,F19,F30,F41,F52,F63,F74,F85,F96,F107)</f>
        <v>89.909151119841866</v>
      </c>
      <c r="D129" s="23">
        <f t="shared" ref="D129:D133" si="20">IF(B129&gt;1, C129/B129*100, 0)</f>
        <v>194.45701764645929</v>
      </c>
      <c r="E129" s="92">
        <f t="shared" ref="E129:E133" si="21">AVERAGE(G8,G19,G30,G41,G52,G63,G74,G85,G96,G107)</f>
        <v>4.5098999999999998E-3</v>
      </c>
      <c r="F129" s="92">
        <f t="shared" ref="F129:F133" si="22">_xlfn.STDEV.S(G8,G19,G30,G41,G52,G63,G74,G85,G96,G107)</f>
        <v>2.604461983255318E-5</v>
      </c>
      <c r="G129" s="23" t="str">
        <f t="shared" si="16"/>
        <v>6/10</v>
      </c>
      <c r="I129" s="91">
        <f t="shared" si="17"/>
        <v>200</v>
      </c>
      <c r="J129" s="77">
        <f>IF(B129&lt;&gt;0,LOG10(B129),0)</f>
        <v>1.6649802765114547</v>
      </c>
      <c r="K129" s="76">
        <f t="shared" ref="K129:K133" si="23">(LOG10(B129+C129) -LOG10(B129))</f>
        <v>0.46902190910165609</v>
      </c>
      <c r="L129" s="77"/>
      <c r="M129" s="39"/>
    </row>
    <row r="130" spans="1:13" x14ac:dyDescent="0.25">
      <c r="A130">
        <v>250</v>
      </c>
      <c r="B130" s="86">
        <f t="shared" si="15"/>
        <v>434.41814946467036</v>
      </c>
      <c r="C130" s="23">
        <f t="shared" si="19"/>
        <v>192.86517267188583</v>
      </c>
      <c r="D130" s="23">
        <f t="shared" si="20"/>
        <v>44.396205110111509</v>
      </c>
      <c r="E130" s="92">
        <f t="shared" si="21"/>
        <v>5.2576000000000003E-3</v>
      </c>
      <c r="F130" s="92">
        <f t="shared" si="22"/>
        <v>3.0591211519359949E-5</v>
      </c>
      <c r="G130" s="23" t="str">
        <f t="shared" si="16"/>
        <v>10/10</v>
      </c>
      <c r="I130" s="91">
        <f t="shared" si="17"/>
        <v>250</v>
      </c>
      <c r="J130" s="77">
        <f t="shared" ref="J130:J133" si="24">IF(B130&lt;&gt;0,LOG10(B130),0)</f>
        <v>2.6379079612578136</v>
      </c>
      <c r="K130" s="76">
        <f t="shared" si="23"/>
        <v>0.15955577965055445</v>
      </c>
      <c r="L130" s="77"/>
      <c r="M130" s="39"/>
    </row>
    <row r="131" spans="1:13" x14ac:dyDescent="0.25">
      <c r="A131">
        <v>300</v>
      </c>
      <c r="B131" s="86">
        <f t="shared" si="15"/>
        <v>1771.7766612753899</v>
      </c>
      <c r="C131" s="23">
        <f t="shared" si="19"/>
        <v>388.60484737846468</v>
      </c>
      <c r="D131" s="23">
        <f t="shared" si="20"/>
        <v>21.933060518967025</v>
      </c>
      <c r="E131" s="92">
        <f t="shared" si="21"/>
        <v>5.8798000000000001E-3</v>
      </c>
      <c r="F131" s="92">
        <f t="shared" si="22"/>
        <v>3.4746062926450938E-5</v>
      </c>
      <c r="G131" s="23" t="str">
        <f t="shared" si="16"/>
        <v>10/10</v>
      </c>
      <c r="I131" s="91">
        <f t="shared" si="17"/>
        <v>300</v>
      </c>
      <c r="J131" s="77">
        <f t="shared" si="24"/>
        <v>3.2484089766431854</v>
      </c>
      <c r="K131" s="76">
        <f t="shared" si="23"/>
        <v>8.612147472658771E-2</v>
      </c>
      <c r="L131" s="77">
        <f t="shared" ref="L130:L133" si="25">I131</f>
        <v>300</v>
      </c>
      <c r="M131" s="39">
        <f t="shared" ref="M130:M133" si="26">J131</f>
        <v>3.2484089766431854</v>
      </c>
    </row>
    <row r="132" spans="1:13" x14ac:dyDescent="0.25">
      <c r="A132">
        <v>400</v>
      </c>
      <c r="B132" s="86">
        <f t="shared" si="15"/>
        <v>7689.7282351574831</v>
      </c>
      <c r="C132" s="23">
        <f t="shared" si="19"/>
        <v>1035.5366156557309</v>
      </c>
      <c r="D132" s="23">
        <f t="shared" si="20"/>
        <v>13.466491714508861</v>
      </c>
      <c r="E132" s="92">
        <f t="shared" si="21"/>
        <v>6.860999999999999E-3</v>
      </c>
      <c r="F132" s="92">
        <f t="shared" si="22"/>
        <v>4.4773504069557314E-5</v>
      </c>
      <c r="G132" s="23" t="str">
        <f t="shared" si="16"/>
        <v>10/10</v>
      </c>
      <c r="I132" s="91">
        <f t="shared" si="17"/>
        <v>400</v>
      </c>
      <c r="J132" s="77">
        <f t="shared" si="24"/>
        <v>3.8859109915495389</v>
      </c>
      <c r="K132" s="76">
        <f t="shared" si="23"/>
        <v>5.4867627061730762E-2</v>
      </c>
      <c r="L132" s="77">
        <f t="shared" si="25"/>
        <v>400</v>
      </c>
      <c r="M132" s="39">
        <f t="shared" si="26"/>
        <v>3.8859109915495389</v>
      </c>
    </row>
    <row r="133" spans="1:13" ht="15.75" thickBot="1" x14ac:dyDescent="0.3">
      <c r="A133">
        <v>500</v>
      </c>
      <c r="B133" s="86">
        <f t="shared" si="15"/>
        <v>16437.871577210619</v>
      </c>
      <c r="C133" s="23">
        <f t="shared" si="19"/>
        <v>3236.9325690109349</v>
      </c>
      <c r="D133" s="23">
        <f t="shared" si="20"/>
        <v>19.691920293978946</v>
      </c>
      <c r="E133" s="92">
        <f t="shared" si="21"/>
        <v>7.5356999999999976E-3</v>
      </c>
      <c r="F133" s="92">
        <f t="shared" si="22"/>
        <v>9.8650955956397604E-5</v>
      </c>
      <c r="G133" s="23" t="str">
        <f t="shared" si="16"/>
        <v>10/10</v>
      </c>
      <c r="I133" s="93">
        <f t="shared" si="17"/>
        <v>500</v>
      </c>
      <c r="J133" s="94">
        <f t="shared" si="24"/>
        <v>4.2158455831484023</v>
      </c>
      <c r="K133" s="81">
        <f t="shared" si="23"/>
        <v>7.8064834699035579E-2</v>
      </c>
      <c r="L133" s="94">
        <f t="shared" si="25"/>
        <v>500</v>
      </c>
      <c r="M133" s="47">
        <f t="shared" si="26"/>
        <v>4.2158455831484023</v>
      </c>
    </row>
    <row r="136" spans="1:13" x14ac:dyDescent="0.25">
      <c r="I136" s="103"/>
    </row>
    <row r="137" spans="1:13" x14ac:dyDescent="0.25">
      <c r="I137" s="103"/>
    </row>
    <row r="138" spans="1:13" x14ac:dyDescent="0.25">
      <c r="I138" s="103"/>
      <c r="J138" s="73"/>
    </row>
    <row r="139" spans="1:13" x14ac:dyDescent="0.25">
      <c r="I139" s="103"/>
      <c r="J139" s="73"/>
    </row>
    <row r="140" spans="1:13" x14ac:dyDescent="0.25">
      <c r="I140" s="103"/>
      <c r="J140" s="73"/>
    </row>
    <row r="141" spans="1:13" x14ac:dyDescent="0.25">
      <c r="I141" s="103"/>
      <c r="J141" s="73"/>
    </row>
  </sheetData>
  <mergeCells count="12">
    <mergeCell ref="A57:A67"/>
    <mergeCell ref="A2:A12"/>
    <mergeCell ref="A13:A23"/>
    <mergeCell ref="A24:A34"/>
    <mergeCell ref="A35:A45"/>
    <mergeCell ref="A46:A56"/>
    <mergeCell ref="A115:G115"/>
    <mergeCell ref="A126:G126"/>
    <mergeCell ref="A68:A78"/>
    <mergeCell ref="A79:A89"/>
    <mergeCell ref="A90:A100"/>
    <mergeCell ref="A101:A1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"/>
  <sheetViews>
    <sheetView zoomScale="130" zoomScaleNormal="130" workbookViewId="0">
      <selection activeCell="C2" sqref="C2:C9"/>
    </sheetView>
  </sheetViews>
  <sheetFormatPr defaultRowHeight="15" x14ac:dyDescent="0.25"/>
  <cols>
    <col min="1" max="1" width="9" style="23" bestFit="1" customWidth="1"/>
    <col min="2" max="2" width="16.140625" style="23" bestFit="1" customWidth="1"/>
    <col min="3" max="3" width="15.28515625" style="23" bestFit="1" customWidth="1"/>
    <col min="4" max="4" width="19.42578125" style="23" customWidth="1"/>
    <col min="5" max="5" width="13.28515625" style="23" bestFit="1" customWidth="1"/>
    <col min="6" max="6" width="18.140625" style="23" bestFit="1" customWidth="1"/>
    <col min="7" max="7" width="18.5703125" style="23" bestFit="1" customWidth="1"/>
    <col min="8" max="8" width="15.85546875" style="23" bestFit="1" customWidth="1"/>
    <col min="9" max="9" width="16.5703125" style="23" bestFit="1" customWidth="1"/>
    <col min="10" max="10" width="19.85546875" style="23" bestFit="1" customWidth="1"/>
    <col min="11" max="11" width="19.7109375" style="23" bestFit="1" customWidth="1"/>
    <col min="12" max="12" width="18.5703125" style="23" bestFit="1" customWidth="1"/>
    <col min="13" max="13" width="17.7109375" style="23" bestFit="1" customWidth="1"/>
    <col min="14" max="14" width="12.5703125" style="23" bestFit="1" customWidth="1"/>
    <col min="15" max="15" width="18" style="23" bestFit="1" customWidth="1"/>
    <col min="16" max="17" width="21.42578125" style="23" bestFit="1" customWidth="1"/>
    <col min="18" max="18" width="24.7109375" style="23" bestFit="1" customWidth="1"/>
    <col min="19" max="19" width="12" style="23" bestFit="1" customWidth="1"/>
    <col min="20" max="20" width="16" style="23" bestFit="1" customWidth="1"/>
    <col min="21" max="21" width="19.28515625" style="23" bestFit="1" customWidth="1"/>
    <col min="22" max="22" width="14.7109375" style="23" bestFit="1" customWidth="1"/>
  </cols>
  <sheetData>
    <row r="1" spans="1:22" x14ac:dyDescent="0.25">
      <c r="A1" t="s">
        <v>356</v>
      </c>
      <c r="B1" t="s">
        <v>357</v>
      </c>
      <c r="C1" t="s">
        <v>358</v>
      </c>
      <c r="D1" t="s">
        <v>359</v>
      </c>
      <c r="E1" t="s">
        <v>11</v>
      </c>
      <c r="F1" t="s">
        <v>360</v>
      </c>
      <c r="G1" t="s">
        <v>361</v>
      </c>
      <c r="H1" t="s">
        <v>362</v>
      </c>
      <c r="I1" t="s">
        <v>363</v>
      </c>
      <c r="J1" t="s">
        <v>46</v>
      </c>
      <c r="K1" t="s">
        <v>52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</row>
    <row r="2" spans="1:22" x14ac:dyDescent="0.25">
      <c r="A2">
        <v>1</v>
      </c>
      <c r="B2" t="s">
        <v>375</v>
      </c>
      <c r="C2" s="21"/>
      <c r="D2" t="s">
        <v>376</v>
      </c>
      <c r="E2">
        <v>400</v>
      </c>
      <c r="F2" t="s">
        <v>377</v>
      </c>
      <c r="G2" t="s">
        <v>378</v>
      </c>
      <c r="H2" t="s">
        <v>379</v>
      </c>
      <c r="I2" t="s">
        <v>380</v>
      </c>
      <c r="J2" t="s">
        <v>380</v>
      </c>
      <c r="K2" t="s">
        <v>53</v>
      </c>
      <c r="L2">
        <v>400</v>
      </c>
      <c r="M2" t="s">
        <v>381</v>
      </c>
      <c r="N2" t="b">
        <v>0</v>
      </c>
      <c r="O2" t="s">
        <v>382</v>
      </c>
      <c r="P2" t="s">
        <v>382</v>
      </c>
      <c r="Q2"/>
      <c r="R2" t="s">
        <v>383</v>
      </c>
      <c r="S2" t="s">
        <v>382</v>
      </c>
      <c r="T2" t="s">
        <v>382</v>
      </c>
      <c r="U2" t="s">
        <v>11</v>
      </c>
      <c r="V2">
        <v>400</v>
      </c>
    </row>
    <row r="3" spans="1:22" x14ac:dyDescent="0.25">
      <c r="A3">
        <v>2</v>
      </c>
      <c r="B3" t="s">
        <v>384</v>
      </c>
      <c r="C3" s="21"/>
      <c r="D3" t="s">
        <v>385</v>
      </c>
      <c r="E3">
        <v>600</v>
      </c>
      <c r="F3" t="s">
        <v>377</v>
      </c>
      <c r="G3" t="s">
        <v>378</v>
      </c>
      <c r="H3" t="s">
        <v>379</v>
      </c>
      <c r="I3" t="s">
        <v>380</v>
      </c>
      <c r="J3" t="s">
        <v>380</v>
      </c>
      <c r="K3" t="s">
        <v>53</v>
      </c>
      <c r="L3">
        <v>600</v>
      </c>
      <c r="M3" t="s">
        <v>386</v>
      </c>
      <c r="N3" t="b">
        <v>1</v>
      </c>
      <c r="O3" t="s">
        <v>387</v>
      </c>
      <c r="P3" t="s">
        <v>388</v>
      </c>
      <c r="Q3" t="s">
        <v>388</v>
      </c>
      <c r="R3" t="s">
        <v>389</v>
      </c>
      <c r="S3" t="s">
        <v>390</v>
      </c>
      <c r="T3" t="s">
        <v>391</v>
      </c>
      <c r="U3" t="s">
        <v>11</v>
      </c>
      <c r="V3">
        <v>600</v>
      </c>
    </row>
    <row r="4" spans="1:22" x14ac:dyDescent="0.25">
      <c r="A4">
        <v>3</v>
      </c>
      <c r="B4" t="s">
        <v>392</v>
      </c>
      <c r="C4" s="21"/>
      <c r="D4" t="s">
        <v>393</v>
      </c>
      <c r="E4">
        <v>800</v>
      </c>
      <c r="F4" t="s">
        <v>377</v>
      </c>
      <c r="G4" t="s">
        <v>378</v>
      </c>
      <c r="H4" t="s">
        <v>379</v>
      </c>
      <c r="I4" t="s">
        <v>380</v>
      </c>
      <c r="J4" t="s">
        <v>380</v>
      </c>
      <c r="K4" t="s">
        <v>53</v>
      </c>
      <c r="L4">
        <v>800</v>
      </c>
      <c r="M4" t="s">
        <v>394</v>
      </c>
      <c r="N4" t="b">
        <v>1</v>
      </c>
      <c r="O4" t="s">
        <v>395</v>
      </c>
      <c r="P4" t="s">
        <v>396</v>
      </c>
      <c r="Q4" t="s">
        <v>396</v>
      </c>
      <c r="R4" t="s">
        <v>389</v>
      </c>
      <c r="S4" t="s">
        <v>390</v>
      </c>
      <c r="T4" t="s">
        <v>391</v>
      </c>
      <c r="U4" t="s">
        <v>11</v>
      </c>
      <c r="V4">
        <v>800</v>
      </c>
    </row>
    <row r="5" spans="1:22" x14ac:dyDescent="0.25">
      <c r="A5">
        <v>4</v>
      </c>
      <c r="B5" t="s">
        <v>397</v>
      </c>
      <c r="C5" s="21"/>
      <c r="D5" t="s">
        <v>398</v>
      </c>
      <c r="E5">
        <v>1000</v>
      </c>
      <c r="F5" t="s">
        <v>377</v>
      </c>
      <c r="G5" t="s">
        <v>378</v>
      </c>
      <c r="H5" t="s">
        <v>379</v>
      </c>
      <c r="I5" t="s">
        <v>380</v>
      </c>
      <c r="J5" t="s">
        <v>380</v>
      </c>
      <c r="K5" t="s">
        <v>53</v>
      </c>
      <c r="L5">
        <v>1000</v>
      </c>
      <c r="M5" t="s">
        <v>399</v>
      </c>
      <c r="N5" t="b">
        <v>1</v>
      </c>
      <c r="O5" t="s">
        <v>400</v>
      </c>
      <c r="P5" t="s">
        <v>401</v>
      </c>
      <c r="Q5" t="s">
        <v>401</v>
      </c>
      <c r="R5" t="s">
        <v>389</v>
      </c>
      <c r="S5" t="s">
        <v>390</v>
      </c>
      <c r="T5" t="s">
        <v>391</v>
      </c>
      <c r="U5" t="s">
        <v>11</v>
      </c>
      <c r="V5">
        <v>1000</v>
      </c>
    </row>
    <row r="6" spans="1:22" x14ac:dyDescent="0.25">
      <c r="A6">
        <v>5</v>
      </c>
      <c r="B6" t="s">
        <v>402</v>
      </c>
      <c r="C6" s="21"/>
      <c r="D6" t="s">
        <v>403</v>
      </c>
      <c r="E6">
        <v>1200</v>
      </c>
      <c r="F6" t="s">
        <v>377</v>
      </c>
      <c r="G6" t="s">
        <v>378</v>
      </c>
      <c r="H6" t="s">
        <v>379</v>
      </c>
      <c r="I6" t="s">
        <v>380</v>
      </c>
      <c r="J6" t="s">
        <v>380</v>
      </c>
      <c r="K6" t="s">
        <v>53</v>
      </c>
      <c r="L6">
        <v>1200</v>
      </c>
      <c r="M6" t="s">
        <v>404</v>
      </c>
      <c r="N6" t="b">
        <v>1</v>
      </c>
      <c r="O6" t="s">
        <v>405</v>
      </c>
      <c r="P6" t="s">
        <v>406</v>
      </c>
      <c r="Q6" t="s">
        <v>406</v>
      </c>
      <c r="R6" t="s">
        <v>389</v>
      </c>
      <c r="S6" t="s">
        <v>390</v>
      </c>
      <c r="T6" t="s">
        <v>391</v>
      </c>
      <c r="U6" t="s">
        <v>11</v>
      </c>
      <c r="V6">
        <v>1200</v>
      </c>
    </row>
    <row r="7" spans="1:22" x14ac:dyDescent="0.25">
      <c r="A7">
        <v>6</v>
      </c>
      <c r="B7" t="s">
        <v>407</v>
      </c>
      <c r="C7" s="21"/>
      <c r="D7" t="s">
        <v>408</v>
      </c>
      <c r="E7">
        <v>1500</v>
      </c>
      <c r="F7" t="s">
        <v>377</v>
      </c>
      <c r="G7" t="s">
        <v>378</v>
      </c>
      <c r="H7" t="s">
        <v>379</v>
      </c>
      <c r="I7" t="s">
        <v>380</v>
      </c>
      <c r="J7" t="s">
        <v>380</v>
      </c>
      <c r="K7" t="s">
        <v>53</v>
      </c>
      <c r="L7">
        <v>1500</v>
      </c>
      <c r="M7" t="s">
        <v>409</v>
      </c>
      <c r="N7" t="b">
        <v>1</v>
      </c>
      <c r="O7" t="s">
        <v>410</v>
      </c>
      <c r="P7" t="s">
        <v>411</v>
      </c>
      <c r="Q7" t="s">
        <v>411</v>
      </c>
      <c r="R7" t="s">
        <v>389</v>
      </c>
      <c r="S7" t="s">
        <v>390</v>
      </c>
      <c r="T7" t="s">
        <v>391</v>
      </c>
      <c r="U7" t="s">
        <v>11</v>
      </c>
      <c r="V7">
        <v>1500</v>
      </c>
    </row>
    <row r="8" spans="1:22" x14ac:dyDescent="0.25">
      <c r="A8">
        <v>7</v>
      </c>
      <c r="B8" t="s">
        <v>412</v>
      </c>
      <c r="C8" s="21"/>
      <c r="D8" t="s">
        <v>413</v>
      </c>
      <c r="E8">
        <v>1800</v>
      </c>
      <c r="F8" t="s">
        <v>377</v>
      </c>
      <c r="G8" t="s">
        <v>378</v>
      </c>
      <c r="H8" t="s">
        <v>379</v>
      </c>
      <c r="I8" t="s">
        <v>380</v>
      </c>
      <c r="J8" t="s">
        <v>380</v>
      </c>
      <c r="K8" t="s">
        <v>53</v>
      </c>
      <c r="L8">
        <v>1800</v>
      </c>
      <c r="M8" t="s">
        <v>414</v>
      </c>
      <c r="N8" t="b">
        <v>1</v>
      </c>
      <c r="O8" t="s">
        <v>415</v>
      </c>
      <c r="P8" t="s">
        <v>416</v>
      </c>
      <c r="Q8" t="s">
        <v>416</v>
      </c>
      <c r="R8" t="s">
        <v>389</v>
      </c>
      <c r="S8" t="s">
        <v>390</v>
      </c>
      <c r="T8" t="s">
        <v>391</v>
      </c>
      <c r="U8" t="s">
        <v>11</v>
      </c>
      <c r="V8">
        <v>1800</v>
      </c>
    </row>
    <row r="9" spans="1:22" x14ac:dyDescent="0.25">
      <c r="A9">
        <v>8</v>
      </c>
      <c r="B9" t="s">
        <v>417</v>
      </c>
      <c r="C9" s="21"/>
      <c r="D9" t="s">
        <v>418</v>
      </c>
      <c r="E9">
        <v>2000</v>
      </c>
      <c r="F9" t="s">
        <v>377</v>
      </c>
      <c r="G9" t="s">
        <v>378</v>
      </c>
      <c r="H9" t="s">
        <v>379</v>
      </c>
      <c r="I9" t="s">
        <v>380</v>
      </c>
      <c r="J9" t="s">
        <v>380</v>
      </c>
      <c r="K9" t="s">
        <v>53</v>
      </c>
      <c r="L9">
        <v>2000</v>
      </c>
      <c r="M9" t="s">
        <v>419</v>
      </c>
      <c r="N9" t="b">
        <v>1</v>
      </c>
      <c r="O9" t="s">
        <v>420</v>
      </c>
      <c r="P9" t="s">
        <v>421</v>
      </c>
      <c r="Q9"/>
      <c r="R9" t="s">
        <v>234</v>
      </c>
      <c r="S9" t="s">
        <v>390</v>
      </c>
      <c r="T9" t="s">
        <v>391</v>
      </c>
      <c r="U9" t="s">
        <v>11</v>
      </c>
      <c r="V9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Параметры модели</vt:lpstr>
      <vt:lpstr>Физические константы</vt:lpstr>
      <vt:lpstr>Формулы модели</vt:lpstr>
      <vt:lpstr>План исследования</vt:lpstr>
      <vt:lpstr>Результаты симуляций</vt:lpstr>
      <vt:lpstr>Концентрационные результаты</vt:lpstr>
      <vt:lpstr>Геометрические результаты</vt:lpstr>
      <vt:lpstr>results_20251126_013134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urkella</cp:lastModifiedBy>
  <dcterms:created xsi:type="dcterms:W3CDTF">2025-11-24T18:43:21Z</dcterms:created>
  <dcterms:modified xsi:type="dcterms:W3CDTF">2025-12-08T16:12:22Z</dcterms:modified>
</cp:coreProperties>
</file>